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OneDrive\Desktop\"/>
    </mc:Choice>
  </mc:AlternateContent>
  <bookViews>
    <workbookView xWindow="0" yWindow="0" windowWidth="20490" windowHeight="9045"/>
  </bookViews>
  <sheets>
    <sheet name="Base de Données" sheetId="1" r:id="rId1"/>
    <sheet name="KPI" sheetId="2" r:id="rId2"/>
    <sheet name="Graphiques" sheetId="3" r:id="rId3"/>
  </sheets>
  <calcPr calcId="152511"/>
</workbook>
</file>

<file path=xl/calcChain.xml><?xml version="1.0" encoding="utf-8"?>
<calcChain xmlns="http://schemas.openxmlformats.org/spreadsheetml/2006/main">
  <c r="D17" i="2" l="1"/>
  <c r="D16" i="2"/>
  <c r="C16" i="2"/>
  <c r="F16" i="2" s="1"/>
  <c r="D15" i="2"/>
  <c r="C15" i="2"/>
  <c r="F15" i="2" s="1"/>
  <c r="D13" i="2"/>
  <c r="C7" i="2"/>
  <c r="O27" i="1"/>
  <c r="K27" i="1"/>
  <c r="G27" i="1"/>
  <c r="O26" i="1"/>
  <c r="O28" i="1" s="1"/>
  <c r="N26" i="1"/>
  <c r="M26" i="1"/>
  <c r="M27" i="1" s="1"/>
  <c r="L26" i="1"/>
  <c r="K26" i="1"/>
  <c r="K28" i="1" s="1"/>
  <c r="J26" i="1"/>
  <c r="I26" i="1"/>
  <c r="I27" i="1" s="1"/>
  <c r="H26" i="1"/>
  <c r="G26" i="1"/>
  <c r="G28" i="1" s="1"/>
  <c r="F26" i="1"/>
  <c r="E26" i="1"/>
  <c r="E27" i="1" s="1"/>
  <c r="D26" i="1"/>
  <c r="O25" i="1"/>
  <c r="N25" i="1"/>
  <c r="N27" i="1" s="1"/>
  <c r="N28" i="1" s="1"/>
  <c r="M25" i="1"/>
  <c r="L25" i="1"/>
  <c r="K25" i="1"/>
  <c r="J25" i="1"/>
  <c r="J27" i="1" s="1"/>
  <c r="J28" i="1" s="1"/>
  <c r="I25" i="1"/>
  <c r="H25" i="1"/>
  <c r="G25" i="1"/>
  <c r="F25" i="1"/>
  <c r="F27" i="1" s="1"/>
  <c r="F28" i="1" s="1"/>
  <c r="E25" i="1"/>
  <c r="D25" i="1"/>
  <c r="Q25" i="1" s="1"/>
  <c r="O23" i="1"/>
  <c r="N23" i="1"/>
  <c r="M23" i="1"/>
  <c r="L23" i="1"/>
  <c r="K23" i="1"/>
  <c r="J23" i="1"/>
  <c r="I23" i="1"/>
  <c r="H23" i="1"/>
  <c r="G23" i="1"/>
  <c r="F23" i="1"/>
  <c r="E23" i="1"/>
  <c r="D23" i="1"/>
  <c r="O22" i="1"/>
  <c r="N22" i="1"/>
  <c r="M22" i="1"/>
  <c r="L22" i="1"/>
  <c r="K22" i="1"/>
  <c r="J22" i="1"/>
  <c r="I22" i="1"/>
  <c r="H22" i="1"/>
  <c r="G22" i="1"/>
  <c r="F22" i="1"/>
  <c r="E22" i="1"/>
  <c r="D22" i="1"/>
  <c r="Q21" i="1"/>
  <c r="R20" i="1" s="1"/>
  <c r="Q20" i="1"/>
  <c r="Q23" i="1" s="1"/>
  <c r="Q18" i="1"/>
  <c r="O18" i="1"/>
  <c r="N18" i="1"/>
  <c r="M18" i="1"/>
  <c r="L18" i="1"/>
  <c r="K18" i="1"/>
  <c r="J18" i="1"/>
  <c r="I18" i="1"/>
  <c r="H18" i="1"/>
  <c r="G18" i="1"/>
  <c r="F18" i="1"/>
  <c r="E18" i="1"/>
  <c r="D18" i="1"/>
  <c r="O17" i="1"/>
  <c r="N17" i="1"/>
  <c r="M17" i="1"/>
  <c r="L17" i="1"/>
  <c r="K17" i="1"/>
  <c r="J17" i="1"/>
  <c r="I17" i="1"/>
  <c r="H17" i="1"/>
  <c r="G17" i="1"/>
  <c r="F17" i="1"/>
  <c r="E17" i="1"/>
  <c r="D17" i="1"/>
  <c r="Q16" i="1"/>
  <c r="Q17" i="1" s="1"/>
  <c r="R15" i="1"/>
  <c r="Q15" i="1"/>
  <c r="D7" i="2" s="1"/>
  <c r="O13" i="1"/>
  <c r="N13" i="1"/>
  <c r="M13" i="1"/>
  <c r="L13" i="1"/>
  <c r="K13" i="1"/>
  <c r="J13" i="1"/>
  <c r="I13" i="1"/>
  <c r="H13" i="1"/>
  <c r="G13" i="1"/>
  <c r="F13" i="1"/>
  <c r="E13" i="1"/>
  <c r="D13" i="1"/>
  <c r="O12" i="1"/>
  <c r="N12" i="1"/>
  <c r="M12" i="1"/>
  <c r="L12" i="1"/>
  <c r="K12" i="1"/>
  <c r="J12" i="1"/>
  <c r="I12" i="1"/>
  <c r="H12" i="1"/>
  <c r="G12" i="1"/>
  <c r="F12" i="1"/>
  <c r="E12" i="1"/>
  <c r="D12" i="1"/>
  <c r="Q11" i="1"/>
  <c r="R10" i="1" s="1"/>
  <c r="Q10" i="1"/>
  <c r="Q13" i="1" s="1"/>
  <c r="Q8" i="1"/>
  <c r="O8" i="1"/>
  <c r="N8" i="1"/>
  <c r="M8" i="1"/>
  <c r="L8" i="1"/>
  <c r="K8" i="1"/>
  <c r="J8" i="1"/>
  <c r="I8" i="1"/>
  <c r="H8" i="1"/>
  <c r="G8" i="1"/>
  <c r="F8" i="1"/>
  <c r="E8" i="1"/>
  <c r="D8" i="1"/>
  <c r="O7" i="1"/>
  <c r="N7" i="1"/>
  <c r="M7" i="1"/>
  <c r="L7" i="1"/>
  <c r="K7" i="1"/>
  <c r="J7" i="1"/>
  <c r="I7" i="1"/>
  <c r="H7" i="1"/>
  <c r="G7" i="1"/>
  <c r="F7" i="1"/>
  <c r="E7" i="1"/>
  <c r="D7" i="1"/>
  <c r="Q6" i="1"/>
  <c r="Q7" i="1" s="1"/>
  <c r="R5" i="1"/>
  <c r="Q5" i="1"/>
  <c r="E7" i="2" s="1"/>
  <c r="E16" i="2" l="1"/>
  <c r="E15" i="2"/>
  <c r="S10" i="1"/>
  <c r="S20" i="1"/>
  <c r="E28" i="1"/>
  <c r="I28" i="1"/>
  <c r="M28" i="1"/>
  <c r="B7" i="2"/>
  <c r="C13" i="2"/>
  <c r="F13" i="2" s="1"/>
  <c r="C14" i="2"/>
  <c r="C17" i="2"/>
  <c r="F17" i="2" s="1"/>
  <c r="Q26" i="1"/>
  <c r="D14" i="2"/>
  <c r="E14" i="2" s="1"/>
  <c r="S5" i="1"/>
  <c r="Q12" i="1"/>
  <c r="S15" i="1"/>
  <c r="Q22" i="1"/>
  <c r="D27" i="1"/>
  <c r="D28" i="1" s="1"/>
  <c r="H27" i="1"/>
  <c r="H28" i="1" s="1"/>
  <c r="L27" i="1"/>
  <c r="L28" i="1" s="1"/>
  <c r="Q27" i="1" l="1"/>
  <c r="Q28" i="1" s="1"/>
  <c r="E13" i="2"/>
  <c r="F14" i="2"/>
  <c r="E17" i="2"/>
</calcChain>
</file>

<file path=xl/sharedStrings.xml><?xml version="1.0" encoding="utf-8"?>
<sst xmlns="http://schemas.openxmlformats.org/spreadsheetml/2006/main" count="131" uniqueCount="84">
  <si>
    <t>ATLASCORP SA  —  BASE DE DONNÉES BUDGÉTAIRES 2024</t>
  </si>
  <si>
    <t>Suivi Budget vs Réalisé · 4 Départements · Exercice Janvier–Décembre 2024 · Montants en MAD</t>
  </si>
  <si>
    <t>Département</t>
  </si>
  <si>
    <t>Indicateur</t>
  </si>
  <si>
    <t>Jan</t>
  </si>
  <si>
    <t>Fév</t>
  </si>
  <si>
    <t>Mar</t>
  </si>
  <si>
    <t>Avr</t>
  </si>
  <si>
    <t>Mai</t>
  </si>
  <si>
    <t>Jun</t>
  </si>
  <si>
    <t>Jul</t>
  </si>
  <si>
    <t>Aoû</t>
  </si>
  <si>
    <t>Sep</t>
  </si>
  <si>
    <t>Oct</t>
  </si>
  <si>
    <t>Nov</t>
  </si>
  <si>
    <t>Déc</t>
  </si>
  <si>
    <t>Total Annuel</t>
  </si>
  <si>
    <t>Écart Annuel</t>
  </si>
  <si>
    <t>Taux (%)</t>
  </si>
  <si>
    <t>Statut</t>
  </si>
  <si>
    <t>Ressources Humaines</t>
  </si>
  <si>
    <t>Budget Alloué</t>
  </si>
  <si>
    <t>⚠ DÉPASSEMENT</t>
  </si>
  <si>
    <t>Réalisé</t>
  </si>
  <si>
    <t>Écart (R-B)</t>
  </si>
  <si>
    <t>Taux Réalisation</t>
  </si>
  <si>
    <t>Marketing &amp; Communication</t>
  </si>
  <si>
    <t>Production &amp; Opérations</t>
  </si>
  <si>
    <t>IT / Digital</t>
  </si>
  <si>
    <t>✅ OK</t>
  </si>
  <si>
    <t>TOTAL GLOBAL</t>
  </si>
  <si>
    <t>Budget Total</t>
  </si>
  <si>
    <t>Réalisé Total</t>
  </si>
  <si>
    <t>Écart Total</t>
  </si>
  <si>
    <t>Taux Global</t>
  </si>
  <si>
    <t>ATLASCORP SA  —  INDICATEURS CLÉS DE PERFORMANCE 2024</t>
  </si>
  <si>
    <t>Direction Administrative et Financière  ·  Exercice Janvier–Décembre 2024</t>
  </si>
  <si>
    <t xml:space="preserve">  INDICATEURS GLOBAUX</t>
  </si>
  <si>
    <t>BUDGET TOTAL ALLOUÉ</t>
  </si>
  <si>
    <t>RÉALISÉ TOTAL</t>
  </si>
  <si>
    <t>ÉCART GLOBAL</t>
  </si>
  <si>
    <t>TAUX DE DÉPASSEMENT GLOBAL</t>
  </si>
  <si>
    <t>Budget consolidé — 4 départements</t>
  </si>
  <si>
    <t>Dépenses effectives 2024</t>
  </si>
  <si>
    <t>+2,50% au-dessus du budget</t>
  </si>
  <si>
    <t>Réalisé / Budget − 1</t>
  </si>
  <si>
    <t>Exercice 2024</t>
  </si>
  <si>
    <t>3 depts en dépassement</t>
  </si>
  <si>
    <t>Objectif : &lt; 0%</t>
  </si>
  <si>
    <t xml:space="preserve">  KPI PAR DÉPARTEMENT</t>
  </si>
  <si>
    <t>Budget Annuel</t>
  </si>
  <si>
    <t>Réalisé Annuel</t>
  </si>
  <si>
    <t>Taux &amp; Risque</t>
  </si>
  <si>
    <t xml:space="preserve">  ANALYSE &amp; COMMENTAIRES</t>
  </si>
  <si>
    <t>⚠ Marketing (+5,93%)</t>
  </si>
  <si>
    <t>Dépassements structurels liés aux événements religieux. Révision budgétaire recommandée avec provision calendaire.</t>
  </si>
  <si>
    <t>⚠ Production (+3,13%)</t>
  </si>
  <si>
    <t>Volatilité des coûts matières et énergie. Mise en place de couvertures de risque à étudier pour 2025.</t>
  </si>
  <si>
    <t>▲ Ressources Humaines (+0,60%)</t>
  </si>
  <si>
    <t>Dépassement contenu — accélération des recrutements en T4. Processus d'avenant budgétaire à formaliser.</t>
  </si>
  <si>
    <t>✔ IT / Digital (−0,43%)</t>
  </si>
  <si>
    <t>Modèle de discipline budgétaire à généraliser. Économies réalisées sur les licences cloud.</t>
  </si>
  <si>
    <t>Source : Base de données AtlasCorp SA · DAF · Exercice 2024 · Document confidentiel</t>
  </si>
  <si>
    <t>ATLASCORP SA  —  VISUALISATIONS BUDGÉTAIRES 2024</t>
  </si>
  <si>
    <t>Budget vs Réalisé  ·  Répartition par département  ·  Évolution mensuelle  ·  Analyse trimestrielle</t>
  </si>
  <si>
    <t>Graphe 1 — Barres groupées : comparaison directe Budget vs Réalisé pour chaque département. Production (6,3M) et RH (3,5M) dominent le budget.</t>
  </si>
  <si>
    <t>Graphe 2 — Courbe mensuelle : suivi de l'évolution du réalisé mois par mois. Pics Marketing en T2 (Ramadan) et T4 (fin d'année).</t>
  </si>
  <si>
    <t>Graphe 3 — Camembert : répartition structurelle du budget. Production représente 45% du budget total consolidé.</t>
  </si>
  <si>
    <t>Graphe 4 — Barres empilées : écarts cumulés par trimestre. T4 est le trimestre le plus déficitaire (+199K MAD global).</t>
  </si>
  <si>
    <t>AtlasCorp SA  ·  Direction Administrative et Financière  ·  Casablanca, Maroc  ·  Exercice 2024  ·  Document confidentiel</t>
  </si>
  <si>
    <t>Budget (MAD)</t>
  </si>
  <si>
    <t>Réalisé (MAD)</t>
  </si>
  <si>
    <t>Mois</t>
  </si>
  <si>
    <t>Budget Global</t>
  </si>
  <si>
    <t>RH Réalisé</t>
  </si>
  <si>
    <t>Marketing Réalisé</t>
  </si>
  <si>
    <t>Production Réalisé</t>
  </si>
  <si>
    <t>IT Réalisé</t>
  </si>
  <si>
    <t>Budget</t>
  </si>
  <si>
    <t>Trimestre</t>
  </si>
  <si>
    <t>T1</t>
  </si>
  <si>
    <t>T2</t>
  </si>
  <si>
    <t>T3</t>
  </si>
  <si>
    <t>T4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</si>
</sst>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#,##0\ &quot;MAD&quot;"/>
    <numFmt numFmtId="165" formatCode="\+#,##0\ &quot;MAD&quot;;\-#,##0\ &quot;MAD&quot;;&quot;-&quot;"/>
    <numFmt numFmtId="166" formatCode="\+0.00%;\-0.00%;&quot;-&quot;"/>
    <numFmt numFmtId="167" formatCode="0.0%"/>
  </numFmts>
  <fonts count="28" x14ac:knownFonts="1"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i/>
      <sz val="9"/>
      <color rgb="FFC49A3C"/>
      <name val="Arial"/>
      <family val="2"/>
    </font>
    <font>
      <b/>
      <sz val="9"/>
      <color rgb="FFFFFFFF"/>
      <name val="Arial"/>
      <family val="2"/>
    </font>
    <font>
      <b/>
      <sz val="9"/>
      <color rgb="FF1E2230"/>
      <name val="Arial"/>
      <family val="2"/>
    </font>
    <font>
      <sz val="9"/>
      <color rgb="FF1E2230"/>
      <name val="Arial"/>
      <family val="2"/>
    </font>
    <font>
      <sz val="9"/>
      <color rgb="FF00008B"/>
      <name val="Arial"/>
      <family val="2"/>
    </font>
    <font>
      <b/>
      <sz val="9"/>
      <color rgb="FF00008B"/>
      <name val="Arial"/>
      <family val="2"/>
    </font>
    <font>
      <b/>
      <sz val="10"/>
      <color rgb="FFB83232"/>
      <name val="Arial"/>
      <family val="2"/>
    </font>
    <font>
      <b/>
      <sz val="9"/>
      <color rgb="FFB83232"/>
      <name val="Arial"/>
      <family val="2"/>
    </font>
    <font>
      <b/>
      <sz val="10"/>
      <color rgb="FF1F7A52"/>
      <name val="Arial"/>
      <family val="2"/>
    </font>
    <font>
      <b/>
      <sz val="9"/>
      <color rgb="FF1F7A52"/>
      <name val="Arial"/>
      <family val="2"/>
    </font>
    <font>
      <b/>
      <sz val="10"/>
      <color rgb="FFFFFFFF"/>
      <name val="Arial"/>
      <family val="2"/>
    </font>
    <font>
      <b/>
      <sz val="9"/>
      <color rgb="FFC49A3C"/>
      <name val="Arial"/>
      <family val="2"/>
    </font>
    <font>
      <b/>
      <sz val="8"/>
      <color rgb="FF888888"/>
      <name val="Arial"/>
      <family val="2"/>
    </font>
    <font>
      <b/>
      <sz val="18"/>
      <color rgb="FF2E5F9F"/>
      <name val="Arial"/>
      <family val="2"/>
    </font>
    <font>
      <sz val="8"/>
      <color rgb="FF666666"/>
      <name val="Arial"/>
      <family val="2"/>
    </font>
    <font>
      <i/>
      <sz val="8"/>
      <color rgb="FF999999"/>
      <name val="Arial"/>
      <family val="2"/>
    </font>
    <font>
      <b/>
      <sz val="18"/>
      <color rgb="FF1E2230"/>
      <name val="Arial"/>
      <family val="2"/>
    </font>
    <font>
      <b/>
      <sz val="18"/>
      <color rgb="FFB83232"/>
      <name val="Arial"/>
      <family val="2"/>
    </font>
    <font>
      <b/>
      <sz val="9"/>
      <color rgb="FFB86320"/>
      <name val="Arial"/>
      <family val="2"/>
    </font>
    <font>
      <i/>
      <sz val="8"/>
      <color rgb="FF444444"/>
      <name val="Arial"/>
      <family val="2"/>
    </font>
    <font>
      <i/>
      <sz val="8"/>
      <color rgb="FFAAAAAA"/>
      <name val="Arial"/>
      <family val="2"/>
    </font>
    <font>
      <i/>
      <sz val="16"/>
      <color rgb="FFAAAAAA"/>
      <name val="Arial"/>
      <family val="2"/>
    </font>
    <font>
      <sz val="16"/>
      <color theme="1"/>
      <name val="Calibri"/>
      <family val="2"/>
      <scheme val="minor"/>
    </font>
    <font>
      <i/>
      <sz val="16"/>
      <color rgb="FFC49A3C"/>
      <name val="Arial"/>
      <family val="2"/>
    </font>
    <font>
      <i/>
      <sz val="10"/>
      <color rgb="FF555555"/>
      <name val="Calibri"/>
      <family val="2"/>
      <scheme val="minor"/>
    </font>
    <font>
      <sz val="10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1E2230"/>
      </patternFill>
    </fill>
    <fill>
      <patternFill patternType="solid">
        <fgColor rgb="FFC49A3C"/>
      </patternFill>
    </fill>
    <fill>
      <patternFill patternType="solid">
        <fgColor rgb="FF2E5F9F"/>
      </patternFill>
    </fill>
    <fill>
      <patternFill patternType="solid">
        <fgColor rgb="FFD6E4F7"/>
      </patternFill>
    </fill>
    <fill>
      <patternFill patternType="solid">
        <fgColor rgb="FFFBF0E5"/>
      </patternFill>
    </fill>
    <fill>
      <patternFill patternType="solid">
        <fgColor rgb="FFFFFFFF"/>
      </patternFill>
    </fill>
    <fill>
      <patternFill patternType="solid">
        <fgColor rgb="FFF5F5F4"/>
      </patternFill>
    </fill>
    <fill>
      <patternFill patternType="solid">
        <fgColor rgb="FFEAEAE8"/>
      </patternFill>
    </fill>
    <fill>
      <patternFill patternType="solid">
        <fgColor rgb="FFFEF3E6"/>
      </patternFill>
    </fill>
    <fill>
      <patternFill patternType="solid">
        <fgColor rgb="FFFDEAEA"/>
      </patternFill>
    </fill>
    <fill>
      <patternFill patternType="solid">
        <fgColor rgb="FFFAEDEC"/>
      </patternFill>
    </fill>
    <fill>
      <patternFill patternType="solid">
        <fgColor rgb="FFE6F4EE"/>
      </patternFill>
    </fill>
  </fills>
  <borders count="17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0CCC4"/>
      </left>
      <right style="thin">
        <color rgb="FFD0CCC4"/>
      </right>
      <top style="thin">
        <color rgb="FFD0CCC4"/>
      </top>
      <bottom style="thin">
        <color rgb="FFD0CCC4"/>
      </bottom>
      <diagonal/>
    </border>
    <border>
      <left style="thin">
        <color rgb="FFEAEAE8"/>
      </left>
      <right style="thin">
        <color rgb="FFEAEAE8"/>
      </right>
      <top style="thin">
        <color rgb="FFEAEAE8"/>
      </top>
      <bottom style="thin">
        <color rgb="FFEAEAE8"/>
      </bottom>
      <diagonal/>
    </border>
    <border>
      <left/>
      <right/>
      <top/>
      <bottom style="medium">
        <color rgb="FFC49A3C"/>
      </bottom>
      <diagonal/>
    </border>
    <border>
      <left style="thin">
        <color rgb="FFD0CCC4"/>
      </left>
      <right style="thin">
        <color rgb="FFD0CCC4"/>
      </right>
      <top style="medium">
        <color rgb="FF2E5F9F"/>
      </top>
      <bottom/>
      <diagonal/>
    </border>
    <border>
      <left style="thin">
        <color rgb="FFD0CCC4"/>
      </left>
      <right style="thin">
        <color rgb="FFD0CCC4"/>
      </right>
      <top/>
      <bottom/>
      <diagonal/>
    </border>
    <border>
      <left style="thin">
        <color rgb="FFD0CCC4"/>
      </left>
      <right style="thin">
        <color rgb="FFD0CCC4"/>
      </right>
      <top/>
      <bottom style="thin">
        <color rgb="FFD0CCC4"/>
      </bottom>
      <diagonal/>
    </border>
    <border>
      <left style="thin">
        <color rgb="FFD0CCC4"/>
      </left>
      <right style="thin">
        <color rgb="FFD0CCC4"/>
      </right>
      <top style="medium">
        <color rgb="FF1E2230"/>
      </top>
      <bottom/>
      <diagonal/>
    </border>
    <border>
      <left style="thin">
        <color rgb="FFD0CCC4"/>
      </left>
      <right style="thin">
        <color rgb="FFD0CCC4"/>
      </right>
      <top style="medium">
        <color rgb="FFB83232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C49A3C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3" borderId="0" xfId="0" applyFill="1"/>
    <xf numFmtId="0" fontId="3" fillId="4" borderId="1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left" vertical="center" indent="1"/>
    </xf>
    <xf numFmtId="164" fontId="6" fillId="5" borderId="2" xfId="0" applyNumberFormat="1" applyFont="1" applyFill="1" applyBorder="1" applyAlignment="1">
      <alignment horizontal="right" vertical="center"/>
    </xf>
    <xf numFmtId="164" fontId="7" fillId="5" borderId="2" xfId="0" applyNumberFormat="1" applyFont="1" applyFill="1" applyBorder="1" applyAlignment="1">
      <alignment horizontal="right" vertical="center"/>
    </xf>
    <xf numFmtId="0" fontId="5" fillId="7" borderId="2" xfId="0" applyFont="1" applyFill="1" applyBorder="1" applyAlignment="1">
      <alignment horizontal="left" vertical="center" indent="1"/>
    </xf>
    <xf numFmtId="164" fontId="5" fillId="7" borderId="2" xfId="0" applyNumberFormat="1" applyFont="1" applyFill="1" applyBorder="1" applyAlignment="1">
      <alignment horizontal="right" vertical="center"/>
    </xf>
    <xf numFmtId="164" fontId="4" fillId="7" borderId="2" xfId="0" applyNumberFormat="1" applyFont="1" applyFill="1" applyBorder="1" applyAlignment="1">
      <alignment horizontal="right" vertical="center"/>
    </xf>
    <xf numFmtId="0" fontId="4" fillId="8" borderId="2" xfId="0" applyFont="1" applyFill="1" applyBorder="1" applyAlignment="1">
      <alignment horizontal="left" vertical="center" indent="1"/>
    </xf>
    <xf numFmtId="165" fontId="9" fillId="8" borderId="2" xfId="0" applyNumberFormat="1" applyFont="1" applyFill="1" applyBorder="1" applyAlignment="1">
      <alignment horizontal="right" vertical="center"/>
    </xf>
    <xf numFmtId="0" fontId="4" fillId="7" borderId="2" xfId="0" applyFont="1" applyFill="1" applyBorder="1" applyAlignment="1">
      <alignment horizontal="left" vertical="center" indent="1"/>
    </xf>
    <xf numFmtId="167" fontId="9" fillId="7" borderId="2" xfId="0" applyNumberFormat="1" applyFont="1" applyFill="1" applyBorder="1" applyAlignment="1">
      <alignment horizontal="right" vertical="center"/>
    </xf>
    <xf numFmtId="0" fontId="0" fillId="9" borderId="3" xfId="0" applyFill="1" applyBorder="1"/>
    <xf numFmtId="0" fontId="5" fillId="10" borderId="2" xfId="0" applyFont="1" applyFill="1" applyBorder="1" applyAlignment="1">
      <alignment horizontal="left" vertical="center" indent="1"/>
    </xf>
    <xf numFmtId="164" fontId="6" fillId="10" borderId="2" xfId="0" applyNumberFormat="1" applyFont="1" applyFill="1" applyBorder="1" applyAlignment="1">
      <alignment horizontal="right" vertical="center"/>
    </xf>
    <xf numFmtId="164" fontId="7" fillId="10" borderId="2" xfId="0" applyNumberFormat="1" applyFont="1" applyFill="1" applyBorder="1" applyAlignment="1">
      <alignment horizontal="right" vertical="center"/>
    </xf>
    <xf numFmtId="0" fontId="5" fillId="12" borderId="2" xfId="0" applyFont="1" applyFill="1" applyBorder="1" applyAlignment="1">
      <alignment horizontal="left" vertical="center" indent="1"/>
    </xf>
    <xf numFmtId="164" fontId="6" fillId="12" borderId="2" xfId="0" applyNumberFormat="1" applyFont="1" applyFill="1" applyBorder="1" applyAlignment="1">
      <alignment horizontal="right" vertical="center"/>
    </xf>
    <xf numFmtId="164" fontId="7" fillId="12" borderId="2" xfId="0" applyNumberFormat="1" applyFont="1" applyFill="1" applyBorder="1" applyAlignment="1">
      <alignment horizontal="right" vertical="center"/>
    </xf>
    <xf numFmtId="0" fontId="5" fillId="13" borderId="2" xfId="0" applyFont="1" applyFill="1" applyBorder="1" applyAlignment="1">
      <alignment horizontal="left" vertical="center" indent="1"/>
    </xf>
    <xf numFmtId="164" fontId="6" fillId="13" borderId="2" xfId="0" applyNumberFormat="1" applyFont="1" applyFill="1" applyBorder="1" applyAlignment="1">
      <alignment horizontal="right" vertical="center"/>
    </xf>
    <xf numFmtId="164" fontId="7" fillId="13" borderId="2" xfId="0" applyNumberFormat="1" applyFont="1" applyFill="1" applyBorder="1" applyAlignment="1">
      <alignment horizontal="right" vertical="center"/>
    </xf>
    <xf numFmtId="165" fontId="11" fillId="8" borderId="2" xfId="0" applyNumberFormat="1" applyFont="1" applyFill="1" applyBorder="1" applyAlignment="1">
      <alignment horizontal="right" vertical="center"/>
    </xf>
    <xf numFmtId="167" fontId="11" fillId="7" borderId="2" xfId="0" applyNumberFormat="1" applyFont="1" applyFill="1" applyBorder="1" applyAlignment="1">
      <alignment horizontal="right" vertical="center"/>
    </xf>
    <xf numFmtId="0" fontId="3" fillId="2" borderId="1" xfId="0" applyFont="1" applyFill="1" applyBorder="1" applyAlignment="1">
      <alignment horizontal="left" vertical="center" indent="1"/>
    </xf>
    <xf numFmtId="164" fontId="13" fillId="2" borderId="1" xfId="0" applyNumberFormat="1" applyFont="1" applyFill="1" applyBorder="1" applyAlignment="1">
      <alignment horizontal="right" vertical="center"/>
    </xf>
    <xf numFmtId="0" fontId="0" fillId="2" borderId="1" xfId="0" applyFill="1" applyBorder="1"/>
    <xf numFmtId="165" fontId="13" fillId="2" borderId="1" xfId="0" applyNumberFormat="1" applyFont="1" applyFill="1" applyBorder="1" applyAlignment="1">
      <alignment horizontal="right" vertical="center"/>
    </xf>
    <xf numFmtId="167" fontId="13" fillId="2" borderId="1" xfId="0" applyNumberFormat="1" applyFont="1" applyFill="1" applyBorder="1" applyAlignment="1">
      <alignment horizontal="right" vertical="center"/>
    </xf>
    <xf numFmtId="0" fontId="3" fillId="2" borderId="10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 indent="1"/>
    </xf>
    <xf numFmtId="164" fontId="5" fillId="5" borderId="2" xfId="0" applyNumberFormat="1" applyFont="1" applyFill="1" applyBorder="1" applyAlignment="1">
      <alignment horizontal="right" vertical="center"/>
    </xf>
    <xf numFmtId="165" fontId="9" fillId="5" borderId="2" xfId="0" applyNumberFormat="1" applyFont="1" applyFill="1" applyBorder="1" applyAlignment="1">
      <alignment horizontal="right" vertical="center"/>
    </xf>
    <xf numFmtId="166" fontId="20" fillId="6" borderId="2" xfId="0" applyNumberFormat="1" applyFont="1" applyFill="1" applyBorder="1" applyAlignment="1">
      <alignment horizontal="center" vertical="center"/>
    </xf>
    <xf numFmtId="164" fontId="6" fillId="7" borderId="2" xfId="0" applyNumberFormat="1" applyFont="1" applyFill="1" applyBorder="1" applyAlignment="1">
      <alignment horizontal="right" vertical="center"/>
    </xf>
    <xf numFmtId="165" fontId="9" fillId="7" borderId="2" xfId="0" applyNumberFormat="1" applyFont="1" applyFill="1" applyBorder="1" applyAlignment="1">
      <alignment horizontal="right" vertical="center"/>
    </xf>
    <xf numFmtId="166" fontId="9" fillId="11" borderId="2" xfId="0" applyNumberFormat="1" applyFont="1" applyFill="1" applyBorder="1" applyAlignment="1">
      <alignment horizontal="center" vertical="center"/>
    </xf>
    <xf numFmtId="0" fontId="4" fillId="12" borderId="2" xfId="0" applyFont="1" applyFill="1" applyBorder="1" applyAlignment="1">
      <alignment horizontal="left" vertical="center" indent="1"/>
    </xf>
    <xf numFmtId="164" fontId="5" fillId="12" borderId="2" xfId="0" applyNumberFormat="1" applyFont="1" applyFill="1" applyBorder="1" applyAlignment="1">
      <alignment horizontal="right" vertical="center"/>
    </xf>
    <xf numFmtId="165" fontId="9" fillId="12" borderId="2" xfId="0" applyNumberFormat="1" applyFont="1" applyFill="1" applyBorder="1" applyAlignment="1">
      <alignment horizontal="right" vertical="center"/>
    </xf>
    <xf numFmtId="165" fontId="11" fillId="7" borderId="2" xfId="0" applyNumberFormat="1" applyFont="1" applyFill="1" applyBorder="1" applyAlignment="1">
      <alignment horizontal="right" vertical="center"/>
    </xf>
    <xf numFmtId="166" fontId="11" fillId="13" borderId="2" xfId="0" applyNumberFormat="1" applyFont="1" applyFill="1" applyBorder="1" applyAlignment="1">
      <alignment horizontal="center" vertical="center"/>
    </xf>
    <xf numFmtId="166" fontId="13" fillId="2" borderId="1" xfId="0" applyNumberFormat="1" applyFont="1" applyFill="1" applyBorder="1" applyAlignment="1">
      <alignment horizontal="center" vertical="center"/>
    </xf>
    <xf numFmtId="0" fontId="9" fillId="11" borderId="2" xfId="0" applyFont="1" applyFill="1" applyBorder="1" applyAlignment="1">
      <alignment horizontal="left" vertical="center" indent="1"/>
    </xf>
    <xf numFmtId="0" fontId="20" fillId="6" borderId="2" xfId="0" applyFont="1" applyFill="1" applyBorder="1" applyAlignment="1">
      <alignment horizontal="left" vertical="center" indent="1"/>
    </xf>
    <xf numFmtId="0" fontId="11" fillId="13" borderId="2" xfId="0" applyFont="1" applyFill="1" applyBorder="1" applyAlignment="1">
      <alignment horizontal="left" vertical="center" indent="1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0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24" fillId="0" borderId="0" xfId="0" applyFont="1"/>
    <xf numFmtId="0" fontId="2" fillId="2" borderId="0" xfId="0" applyFont="1" applyFill="1" applyAlignment="1">
      <alignment horizontal="center" vertical="center"/>
    </xf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4" fillId="13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9" fillId="11" borderId="2" xfId="0" applyFont="1" applyFill="1" applyBorder="1" applyAlignment="1">
      <alignment horizontal="center" vertical="center"/>
    </xf>
    <xf numFmtId="165" fontId="8" fillId="5" borderId="2" xfId="0" applyNumberFormat="1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horizontal="center" vertical="center" wrapText="1"/>
    </xf>
    <xf numFmtId="166" fontId="8" fillId="10" borderId="2" xfId="0" applyNumberFormat="1" applyFont="1" applyFill="1" applyBorder="1" applyAlignment="1">
      <alignment horizontal="center" vertical="center"/>
    </xf>
    <xf numFmtId="0" fontId="4" fillId="12" borderId="2" xfId="0" applyFont="1" applyFill="1" applyBorder="1" applyAlignment="1">
      <alignment horizontal="center" vertical="center" wrapText="1"/>
    </xf>
    <xf numFmtId="166" fontId="8" fillId="12" borderId="2" xfId="0" applyNumberFormat="1" applyFont="1" applyFill="1" applyBorder="1" applyAlignment="1">
      <alignment horizontal="center" vertical="center"/>
    </xf>
    <xf numFmtId="166" fontId="8" fillId="5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>
      <alignment horizontal="center" vertical="center"/>
    </xf>
    <xf numFmtId="165" fontId="8" fillId="10" borderId="2" xfId="0" applyNumberFormat="1" applyFont="1" applyFill="1" applyBorder="1" applyAlignment="1">
      <alignment horizontal="center" vertical="center"/>
    </xf>
    <xf numFmtId="165" fontId="8" fillId="12" borderId="2" xfId="0" applyNumberFormat="1" applyFont="1" applyFill="1" applyBorder="1" applyAlignment="1">
      <alignment horizontal="center" vertical="center"/>
    </xf>
    <xf numFmtId="165" fontId="10" fillId="13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>
      <alignment horizontal="center" vertical="center"/>
    </xf>
    <xf numFmtId="0" fontId="16" fillId="11" borderId="6" xfId="0" applyFont="1" applyFill="1" applyBorder="1" applyAlignment="1">
      <alignment horizontal="left" vertical="center" indent="1"/>
    </xf>
    <xf numFmtId="0" fontId="21" fillId="7" borderId="2" xfId="0" applyFont="1" applyFill="1" applyBorder="1" applyAlignment="1">
      <alignment horizontal="left" vertical="center" wrapText="1" indent="1"/>
    </xf>
    <xf numFmtId="0" fontId="14" fillId="11" borderId="9" xfId="0" applyFont="1" applyFill="1" applyBorder="1" applyAlignment="1">
      <alignment horizontal="left" vertical="center" indent="1"/>
    </xf>
    <xf numFmtId="0" fontId="3" fillId="4" borderId="4" xfId="0" applyFont="1" applyFill="1" applyBorder="1" applyAlignment="1">
      <alignment horizontal="left" vertical="center" indent="1"/>
    </xf>
    <xf numFmtId="0" fontId="17" fillId="8" borderId="7" xfId="0" applyFont="1" applyFill="1" applyBorder="1" applyAlignment="1">
      <alignment horizontal="left" vertical="center" indent="1"/>
    </xf>
    <xf numFmtId="0" fontId="16" fillId="5" borderId="6" xfId="0" applyFont="1" applyFill="1" applyBorder="1" applyAlignment="1">
      <alignment horizontal="left" vertical="center" indent="1"/>
    </xf>
    <xf numFmtId="0" fontId="17" fillId="11" borderId="7" xfId="0" applyFont="1" applyFill="1" applyBorder="1" applyAlignment="1">
      <alignment horizontal="left" vertical="center" indent="1"/>
    </xf>
    <xf numFmtId="165" fontId="19" fillId="11" borderId="6" xfId="0" applyNumberFormat="1" applyFont="1" applyFill="1" applyBorder="1" applyAlignment="1">
      <alignment horizontal="left" vertical="center" indent="1"/>
    </xf>
    <xf numFmtId="164" fontId="18" fillId="8" borderId="6" xfId="0" applyNumberFormat="1" applyFont="1" applyFill="1" applyBorder="1" applyAlignment="1">
      <alignment horizontal="left" vertical="center" indent="1"/>
    </xf>
    <xf numFmtId="0" fontId="14" fillId="5" borderId="5" xfId="0" applyFont="1" applyFill="1" applyBorder="1" applyAlignment="1">
      <alignment horizontal="left" vertical="center" indent="1"/>
    </xf>
    <xf numFmtId="166" fontId="19" fillId="11" borderId="6" xfId="0" applyNumberFormat="1" applyFont="1" applyFill="1" applyBorder="1" applyAlignment="1">
      <alignment horizontal="left" vertical="center" indent="1"/>
    </xf>
    <xf numFmtId="164" fontId="15" fillId="5" borderId="6" xfId="0" applyNumberFormat="1" applyFont="1" applyFill="1" applyBorder="1" applyAlignment="1">
      <alignment horizontal="left" vertical="center" indent="1"/>
    </xf>
    <xf numFmtId="0" fontId="14" fillId="8" borderId="8" xfId="0" applyFont="1" applyFill="1" applyBorder="1" applyAlignment="1">
      <alignment horizontal="left" vertical="center" indent="1"/>
    </xf>
    <xf numFmtId="0" fontId="16" fillId="8" borderId="6" xfId="0" applyFont="1" applyFill="1" applyBorder="1" applyAlignment="1">
      <alignment horizontal="left" vertical="center" indent="1"/>
    </xf>
    <xf numFmtId="0" fontId="21" fillId="8" borderId="2" xfId="0" applyFont="1" applyFill="1" applyBorder="1" applyAlignment="1">
      <alignment horizontal="left" vertical="center" wrapText="1" indent="1"/>
    </xf>
    <xf numFmtId="0" fontId="17" fillId="5" borderId="7" xfId="0" applyFont="1" applyFill="1" applyBorder="1" applyAlignment="1">
      <alignment horizontal="left" vertical="center" indent="1"/>
    </xf>
    <xf numFmtId="0" fontId="22" fillId="2" borderId="0" xfId="0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0" borderId="0" xfId="0" applyFont="1"/>
    <xf numFmtId="0" fontId="25" fillId="2" borderId="0" xfId="0" applyFont="1" applyFill="1" applyAlignment="1">
      <alignment horizontal="center" vertical="center"/>
    </xf>
    <xf numFmtId="0" fontId="26" fillId="0" borderId="16" xfId="0" applyFont="1" applyBorder="1" applyAlignment="1">
      <alignment horizontal="left" vertical="center" wrapText="1"/>
    </xf>
    <xf numFmtId="0" fontId="27" fillId="0" borderId="16" xfId="0" applyFont="1" applyBorder="1"/>
    <xf numFmtId="0" fontId="27" fillId="0" borderId="16" xfId="0" applyFont="1" applyBorder="1"/>
    <xf numFmtId="0" fontId="2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FR"/>
              <a:t>Budget vs Réalisé par Département — Exercice 2024</a:t>
            </a:r>
          </a:p>
        </c:rich>
      </c:tx>
      <c:layout>
        <c:manualLayout>
          <c:xMode val="edge"/>
          <c:yMode val="edge"/>
          <c:x val="0.11798977272727272"/>
          <c:y val="5.2916666666666667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Graphiques!$B$73</c:f>
              <c:strCache>
                <c:ptCount val="1"/>
                <c:pt idx="0">
                  <c:v>Budget (MAD)</c:v>
                </c:pt>
              </c:strCache>
            </c:strRef>
          </c:tx>
          <c:spPr>
            <a:solidFill>
              <a:srgbClr val="4A7CC7"/>
            </a:solidFill>
            <a:ln>
              <a:solidFill>
                <a:srgbClr val="3A6BAA"/>
              </a:solidFill>
              <a:prstDash val="solid"/>
            </a:ln>
          </c:spPr>
          <c:invertIfNegative val="1"/>
          <c:cat>
            <c:strRef>
              <c:f>Graphiques!$A$74:$A$77</c:f>
              <c:strCache>
                <c:ptCount val="4"/>
                <c:pt idx="0">
                  <c:v>Ressources Humaines</c:v>
                </c:pt>
                <c:pt idx="1">
                  <c:v>Marketing &amp; Communication</c:v>
                </c:pt>
                <c:pt idx="2">
                  <c:v>Production &amp; Opérations</c:v>
                </c:pt>
                <c:pt idx="3">
                  <c:v>IT / Digital</c:v>
                </c:pt>
              </c:strCache>
            </c:strRef>
          </c:cat>
          <c:val>
            <c:numRef>
              <c:f>Graphiques!$B$74:$B$77</c:f>
              <c:numCache>
                <c:formatCode>General</c:formatCode>
                <c:ptCount val="4"/>
                <c:pt idx="0">
                  <c:v>3485000</c:v>
                </c:pt>
                <c:pt idx="1">
                  <c:v>2360000</c:v>
                </c:pt>
                <c:pt idx="2">
                  <c:v>6355000</c:v>
                </c:pt>
                <c:pt idx="3">
                  <c:v>1865000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3A6BAA"/>
                    </a:solidFill>
                    <a:prstDash val="solid"/>
                  </a:ln>
                </c14:spPr>
              </c14:invertSolidFillFmt>
            </c:ext>
          </c:extLst>
        </c:ser>
        <c:ser>
          <c:idx val="1"/>
          <c:order val="1"/>
          <c:tx>
            <c:strRef>
              <c:f>Graphiques!$C$73</c:f>
              <c:strCache>
                <c:ptCount val="1"/>
                <c:pt idx="0">
                  <c:v>Réalisé (MAD)</c:v>
                </c:pt>
              </c:strCache>
            </c:strRef>
          </c:tx>
          <c:spPr>
            <a:solidFill>
              <a:srgbClr val="C0392B"/>
            </a:solidFill>
            <a:ln>
              <a:solidFill>
                <a:srgbClr val="A02818"/>
              </a:solidFill>
              <a:prstDash val="solid"/>
            </a:ln>
          </c:spPr>
          <c:invertIfNegative val="1"/>
          <c:cat>
            <c:strRef>
              <c:f>Graphiques!$A$74:$A$77</c:f>
              <c:strCache>
                <c:ptCount val="4"/>
                <c:pt idx="0">
                  <c:v>Ressources Humaines</c:v>
                </c:pt>
                <c:pt idx="1">
                  <c:v>Marketing &amp; Communication</c:v>
                </c:pt>
                <c:pt idx="2">
                  <c:v>Production &amp; Opérations</c:v>
                </c:pt>
                <c:pt idx="3">
                  <c:v>IT / Digital</c:v>
                </c:pt>
              </c:strCache>
            </c:strRef>
          </c:cat>
          <c:val>
            <c:numRef>
              <c:f>Graphiques!$C$74:$C$77</c:f>
              <c:numCache>
                <c:formatCode>General</c:formatCode>
                <c:ptCount val="4"/>
                <c:pt idx="0">
                  <c:v>3506000</c:v>
                </c:pt>
                <c:pt idx="1">
                  <c:v>2500000</c:v>
                </c:pt>
                <c:pt idx="2">
                  <c:v>6554000</c:v>
                </c:pt>
                <c:pt idx="3">
                  <c:v>1857000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02818"/>
                    </a:solidFill>
                    <a:prstDash val="solid"/>
                  </a:ln>
                </c14:spPr>
              </c14:invertSolidFillFmt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820721488"/>
        <c:axId val="820720400"/>
      </c:barChart>
      <c:catAx>
        <c:axId val="820721488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fr-FR"/>
                  <a:t>Département</a:t>
                </a:r>
              </a:p>
            </c:rich>
          </c:tx>
          <c:layout/>
          <c:overlay val="1"/>
        </c:title>
        <c:numFmt formatCode="General" sourceLinked="1"/>
        <c:majorTickMark val="none"/>
        <c:minorTickMark val="none"/>
        <c:tickLblPos val="nextTo"/>
        <c:crossAx val="820720400"/>
        <c:crosses val="autoZero"/>
        <c:auto val="1"/>
        <c:lblAlgn val="ctr"/>
        <c:lblOffset val="100"/>
        <c:noMultiLvlLbl val="1"/>
      </c:catAx>
      <c:valAx>
        <c:axId val="8207204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fr-FR"/>
                  <a:t>Montant (MAD)</a:t>
                </a:r>
              </a:p>
            </c:rich>
          </c:tx>
          <c:layout/>
          <c:overlay val="1"/>
        </c:title>
        <c:numFmt formatCode="General" sourceLinked="1"/>
        <c:majorTickMark val="none"/>
        <c:minorTickMark val="none"/>
        <c:tickLblPos val="nextTo"/>
        <c:crossAx val="820721488"/>
        <c:crosses val="autoZero"/>
        <c:crossBetween val="between"/>
      </c:valAx>
    </c:plotArea>
    <c:legend>
      <c:legendPos val="r"/>
      <c:layout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FR"/>
              <a:t>Évolution Mensuelle du Réalisé par Département</a:t>
            </a:r>
          </a:p>
        </c:rich>
      </c:tx>
      <c:layout>
        <c:manualLayout>
          <c:xMode val="edge"/>
          <c:yMode val="edge"/>
          <c:x val="0.33158459595959594"/>
          <c:y val="5.2916666666666667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Graphiques!$G$73</c:f>
              <c:strCache>
                <c:ptCount val="1"/>
                <c:pt idx="0">
                  <c:v>RH Réalisé</c:v>
                </c:pt>
              </c:strCache>
            </c:strRef>
          </c:tx>
          <c:spPr>
            <a:ln w="20000">
              <a:solidFill>
                <a:srgbClr val="4A7CC7"/>
              </a:solidFill>
              <a:prstDash val="solid"/>
            </a:ln>
          </c:spPr>
          <c:marker>
            <c:symbol val="none"/>
          </c:marker>
          <c:cat>
            <c:strRef>
              <c:f>Graphiques!$E$74:$E$85</c:f>
              <c:strCache>
                <c:ptCount val="12"/>
                <c:pt idx="0">
                  <c:v>Jan</c:v>
                </c:pt>
                <c:pt idx="1">
                  <c:v>Fév</c:v>
                </c:pt>
                <c:pt idx="2">
                  <c:v>Mar</c:v>
                </c:pt>
                <c:pt idx="3">
                  <c:v>Avr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Aoû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Déc</c:v>
                </c:pt>
              </c:strCache>
            </c:strRef>
          </c:cat>
          <c:val>
            <c:numRef>
              <c:f>Graphiques!$G$74:$G$85</c:f>
              <c:numCache>
                <c:formatCode>General</c:formatCode>
                <c:ptCount val="12"/>
                <c:pt idx="0">
                  <c:v>281000</c:v>
                </c:pt>
                <c:pt idx="1">
                  <c:v>292000</c:v>
                </c:pt>
                <c:pt idx="2">
                  <c:v>298000</c:v>
                </c:pt>
                <c:pt idx="3">
                  <c:v>288000</c:v>
                </c:pt>
                <c:pt idx="4">
                  <c:v>283000</c:v>
                </c:pt>
                <c:pt idx="5">
                  <c:v>301000</c:v>
                </c:pt>
                <c:pt idx="6">
                  <c:v>290000</c:v>
                </c:pt>
                <c:pt idx="7">
                  <c:v>279000</c:v>
                </c:pt>
                <c:pt idx="8">
                  <c:v>295000</c:v>
                </c:pt>
                <c:pt idx="9">
                  <c:v>296000</c:v>
                </c:pt>
                <c:pt idx="10">
                  <c:v>288000</c:v>
                </c:pt>
                <c:pt idx="11">
                  <c:v>315000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Graphiques!$H$73</c:f>
              <c:strCache>
                <c:ptCount val="1"/>
                <c:pt idx="0">
                  <c:v>Marketing Réalisé</c:v>
                </c:pt>
              </c:strCache>
            </c:strRef>
          </c:tx>
          <c:spPr>
            <a:ln w="20000">
              <a:solidFill>
                <a:srgbClr val="D4873A"/>
              </a:solidFill>
              <a:prstDash val="solid"/>
            </a:ln>
          </c:spPr>
          <c:marker>
            <c:symbol val="none"/>
          </c:marker>
          <c:cat>
            <c:strRef>
              <c:f>Graphiques!$E$74:$E$85</c:f>
              <c:strCache>
                <c:ptCount val="12"/>
                <c:pt idx="0">
                  <c:v>Jan</c:v>
                </c:pt>
                <c:pt idx="1">
                  <c:v>Fév</c:v>
                </c:pt>
                <c:pt idx="2">
                  <c:v>Mar</c:v>
                </c:pt>
                <c:pt idx="3">
                  <c:v>Avr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Aoû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Déc</c:v>
                </c:pt>
              </c:strCache>
            </c:strRef>
          </c:cat>
          <c:val>
            <c:numRef>
              <c:f>Graphiques!$H$74:$H$85</c:f>
              <c:numCache>
                <c:formatCode>General</c:formatCode>
                <c:ptCount val="12"/>
                <c:pt idx="0">
                  <c:v>172000</c:v>
                </c:pt>
                <c:pt idx="1">
                  <c:v>188000</c:v>
                </c:pt>
                <c:pt idx="2">
                  <c:v>215000</c:v>
                </c:pt>
                <c:pt idx="3">
                  <c:v>238000</c:v>
                </c:pt>
                <c:pt idx="4">
                  <c:v>245000</c:v>
                </c:pt>
                <c:pt idx="5">
                  <c:v>198000</c:v>
                </c:pt>
                <c:pt idx="6">
                  <c:v>155000</c:v>
                </c:pt>
                <c:pt idx="7">
                  <c:v>162000</c:v>
                </c:pt>
                <c:pt idx="8">
                  <c:v>192000</c:v>
                </c:pt>
                <c:pt idx="9">
                  <c:v>222000</c:v>
                </c:pt>
                <c:pt idx="10">
                  <c:v>228000</c:v>
                </c:pt>
                <c:pt idx="11">
                  <c:v>285000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Graphiques!$I$73</c:f>
              <c:strCache>
                <c:ptCount val="1"/>
                <c:pt idx="0">
                  <c:v>Production Réalisé</c:v>
                </c:pt>
              </c:strCache>
            </c:strRef>
          </c:tx>
          <c:spPr>
            <a:ln w="20000">
              <a:solidFill>
                <a:srgbClr val="C0392B"/>
              </a:solidFill>
              <a:prstDash val="solid"/>
            </a:ln>
          </c:spPr>
          <c:marker>
            <c:symbol val="none"/>
          </c:marker>
          <c:cat>
            <c:strRef>
              <c:f>Graphiques!$E$74:$E$85</c:f>
              <c:strCache>
                <c:ptCount val="12"/>
                <c:pt idx="0">
                  <c:v>Jan</c:v>
                </c:pt>
                <c:pt idx="1">
                  <c:v>Fév</c:v>
                </c:pt>
                <c:pt idx="2">
                  <c:v>Mar</c:v>
                </c:pt>
                <c:pt idx="3">
                  <c:v>Avr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Aoû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Déc</c:v>
                </c:pt>
              </c:strCache>
            </c:strRef>
          </c:cat>
          <c:val>
            <c:numRef>
              <c:f>Graphiques!$I$74:$I$85</c:f>
              <c:numCache>
                <c:formatCode>General</c:formatCode>
                <c:ptCount val="12"/>
                <c:pt idx="0">
                  <c:v>518000</c:v>
                </c:pt>
                <c:pt idx="1">
                  <c:v>531000</c:v>
                </c:pt>
                <c:pt idx="2">
                  <c:v>558000</c:v>
                </c:pt>
                <c:pt idx="3">
                  <c:v>512000</c:v>
                </c:pt>
                <c:pt idx="4">
                  <c:v>525000</c:v>
                </c:pt>
                <c:pt idx="5">
                  <c:v>572000</c:v>
                </c:pt>
                <c:pt idx="6">
                  <c:v>548000</c:v>
                </c:pt>
                <c:pt idx="7">
                  <c:v>562000</c:v>
                </c:pt>
                <c:pt idx="8">
                  <c:v>571000</c:v>
                </c:pt>
                <c:pt idx="9">
                  <c:v>535000</c:v>
                </c:pt>
                <c:pt idx="10">
                  <c:v>542000</c:v>
                </c:pt>
                <c:pt idx="11">
                  <c:v>580000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Graphiques!$J$73</c:f>
              <c:strCache>
                <c:ptCount val="1"/>
                <c:pt idx="0">
                  <c:v>IT Réalisé</c:v>
                </c:pt>
              </c:strCache>
            </c:strRef>
          </c:tx>
          <c:spPr>
            <a:ln w="20000">
              <a:solidFill>
                <a:srgbClr val="2E8B57"/>
              </a:solidFill>
              <a:prstDash val="solid"/>
            </a:ln>
          </c:spPr>
          <c:marker>
            <c:symbol val="none"/>
          </c:marker>
          <c:cat>
            <c:strRef>
              <c:f>Graphiques!$E$74:$E$85</c:f>
              <c:strCache>
                <c:ptCount val="12"/>
                <c:pt idx="0">
                  <c:v>Jan</c:v>
                </c:pt>
                <c:pt idx="1">
                  <c:v>Fév</c:v>
                </c:pt>
                <c:pt idx="2">
                  <c:v>Mar</c:v>
                </c:pt>
                <c:pt idx="3">
                  <c:v>Avr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Aoû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Déc</c:v>
                </c:pt>
              </c:strCache>
            </c:strRef>
          </c:cat>
          <c:val>
            <c:numRef>
              <c:f>Graphiques!$J$74:$J$85</c:f>
              <c:numCache>
                <c:formatCode>General</c:formatCode>
                <c:ptCount val="12"/>
                <c:pt idx="0">
                  <c:v>148000</c:v>
                </c:pt>
                <c:pt idx="1">
                  <c:v>152000</c:v>
                </c:pt>
                <c:pt idx="2">
                  <c:v>158000</c:v>
                </c:pt>
                <c:pt idx="3">
                  <c:v>147000</c:v>
                </c:pt>
                <c:pt idx="4">
                  <c:v>153000</c:v>
                </c:pt>
                <c:pt idx="5">
                  <c:v>162000</c:v>
                </c:pt>
                <c:pt idx="6">
                  <c:v>145000</c:v>
                </c:pt>
                <c:pt idx="7">
                  <c:v>149000</c:v>
                </c:pt>
                <c:pt idx="8">
                  <c:v>155000</c:v>
                </c:pt>
                <c:pt idx="9">
                  <c:v>159000</c:v>
                </c:pt>
                <c:pt idx="10">
                  <c:v>157000</c:v>
                </c:pt>
                <c:pt idx="11">
                  <c:v>172000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Graphiques!$F$73</c:f>
              <c:strCache>
                <c:ptCount val="1"/>
                <c:pt idx="0">
                  <c:v>Budget Global</c:v>
                </c:pt>
              </c:strCache>
            </c:strRef>
          </c:tx>
          <c:spPr>
            <a:ln w="14000">
              <a:solidFill>
                <a:srgbClr val="BBBBBB"/>
              </a:solidFill>
              <a:prstDash val="solid"/>
            </a:ln>
          </c:spPr>
          <c:marker>
            <c:symbol val="none"/>
          </c:marker>
          <c:cat>
            <c:strRef>
              <c:f>Graphiques!$E$74:$E$85</c:f>
              <c:strCache>
                <c:ptCount val="12"/>
                <c:pt idx="0">
                  <c:v>Jan</c:v>
                </c:pt>
                <c:pt idx="1">
                  <c:v>Fév</c:v>
                </c:pt>
                <c:pt idx="2">
                  <c:v>Mar</c:v>
                </c:pt>
                <c:pt idx="3">
                  <c:v>Avr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Aoû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Déc</c:v>
                </c:pt>
              </c:strCache>
            </c:strRef>
          </c:cat>
          <c:val>
            <c:numRef>
              <c:f>Graphiques!$F$74:$F$85</c:f>
              <c:numCache>
                <c:formatCode>General</c:formatCode>
                <c:ptCount val="12"/>
                <c:pt idx="0">
                  <c:v>1135000</c:v>
                </c:pt>
                <c:pt idx="1">
                  <c:v>1135000</c:v>
                </c:pt>
                <c:pt idx="2">
                  <c:v>1195000</c:v>
                </c:pt>
                <c:pt idx="3">
                  <c:v>1165000</c:v>
                </c:pt>
                <c:pt idx="4">
                  <c:v>1165000</c:v>
                </c:pt>
                <c:pt idx="5">
                  <c:v>1205000</c:v>
                </c:pt>
                <c:pt idx="6">
                  <c:v>1125000</c:v>
                </c:pt>
                <c:pt idx="7">
                  <c:v>1125000</c:v>
                </c:pt>
                <c:pt idx="8">
                  <c:v>1180000</c:v>
                </c:pt>
                <c:pt idx="9">
                  <c:v>1165000</c:v>
                </c:pt>
                <c:pt idx="10">
                  <c:v>1175000</c:v>
                </c:pt>
                <c:pt idx="11">
                  <c:v>1295000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0729648"/>
        <c:axId val="820728016"/>
      </c:lineChart>
      <c:catAx>
        <c:axId val="820729648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fr-FR"/>
                  <a:t>Mois</a:t>
                </a:r>
              </a:p>
            </c:rich>
          </c:tx>
          <c:layout/>
          <c:overlay val="1"/>
        </c:title>
        <c:numFmt formatCode="General" sourceLinked="1"/>
        <c:majorTickMark val="none"/>
        <c:minorTickMark val="none"/>
        <c:tickLblPos val="nextTo"/>
        <c:crossAx val="820728016"/>
        <c:crosses val="autoZero"/>
        <c:auto val="1"/>
        <c:lblAlgn val="ctr"/>
        <c:lblOffset val="100"/>
        <c:noMultiLvlLbl val="1"/>
      </c:catAx>
      <c:valAx>
        <c:axId val="820728016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fr-FR"/>
                  <a:t>Montant (MAD)</a:t>
                </a:r>
              </a:p>
            </c:rich>
          </c:tx>
          <c:layout/>
          <c:overlay val="1"/>
        </c:title>
        <c:numFmt formatCode="General" sourceLinked="1"/>
        <c:majorTickMark val="none"/>
        <c:minorTickMark val="none"/>
        <c:tickLblPos val="nextTo"/>
        <c:crossAx val="820729648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1435795454545457"/>
          <c:y val="0.34072757936507936"/>
          <c:w val="0.16960669191919192"/>
          <c:h val="0.22783035714285715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FR"/>
              <a:t>Répartition du Budget par Département</a:t>
            </a:r>
          </a:p>
        </c:rich>
      </c:tx>
      <c:layout>
        <c:manualLayout>
          <c:xMode val="edge"/>
          <c:yMode val="edge"/>
          <c:x val="3.4095532092579352E-2"/>
          <c:y val="3.2757936507936507E-2"/>
        </c:manualLayout>
      </c:layout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Graphiques!$M$73</c:f>
              <c:strCache>
                <c:ptCount val="1"/>
                <c:pt idx="0">
                  <c:v>Budget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4A7CC7"/>
              </a:solidFill>
              <a:ln>
                <a:prstDash val="solid"/>
              </a:ln>
            </c:spPr>
          </c:dPt>
          <c:dPt>
            <c:idx val="1"/>
            <c:bubble3D val="0"/>
            <c:spPr>
              <a:solidFill>
                <a:srgbClr val="D4873A"/>
              </a:solidFill>
              <a:ln>
                <a:prstDash val="solid"/>
              </a:ln>
            </c:spPr>
          </c:dPt>
          <c:dPt>
            <c:idx val="2"/>
            <c:bubble3D val="0"/>
            <c:spPr>
              <a:solidFill>
                <a:srgbClr val="C0392B"/>
              </a:solidFill>
              <a:ln>
                <a:prstDash val="solid"/>
              </a:ln>
            </c:spPr>
          </c:dPt>
          <c:dPt>
            <c:idx val="3"/>
            <c:bubble3D val="0"/>
            <c:spPr>
              <a:solidFill>
                <a:srgbClr val="2E8B57"/>
              </a:solidFill>
              <a:ln>
                <a:prstDash val="solid"/>
              </a:ln>
            </c:spPr>
          </c:dPt>
          <c:cat>
            <c:strRef>
              <c:f>Graphiques!$L$74:$L$77</c:f>
              <c:strCache>
                <c:ptCount val="4"/>
                <c:pt idx="0">
                  <c:v>Ressources Humaines</c:v>
                </c:pt>
                <c:pt idx="1">
                  <c:v>Marketing &amp; Communication</c:v>
                </c:pt>
                <c:pt idx="2">
                  <c:v>Production &amp; Opérations</c:v>
                </c:pt>
                <c:pt idx="3">
                  <c:v>IT / Digital</c:v>
                </c:pt>
              </c:strCache>
            </c:strRef>
          </c:cat>
          <c:val>
            <c:numRef>
              <c:f>Graphiques!$M$74:$M$77</c:f>
              <c:numCache>
                <c:formatCode>General</c:formatCode>
                <c:ptCount val="4"/>
                <c:pt idx="0">
                  <c:v>3485000</c:v>
                </c:pt>
                <c:pt idx="1">
                  <c:v>2360000</c:v>
                </c:pt>
                <c:pt idx="2">
                  <c:v>6355000</c:v>
                </c:pt>
                <c:pt idx="3">
                  <c:v>1865000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73132575757575757"/>
          <c:y val="0.39878849206349204"/>
          <c:w val="0.25541666666666668"/>
          <c:h val="0.18226428571428571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FR"/>
              <a:t>Écarts Trimestriels par Département (Réalisé − Budget)</a:t>
            </a:r>
          </a:p>
        </c:rich>
      </c:tx>
      <c:layout>
        <c:manualLayout>
          <c:xMode val="edge"/>
          <c:yMode val="edge"/>
          <c:x val="0.31277512626262627"/>
          <c:y val="4.7876984126984129E-2"/>
        </c:manualLayout>
      </c:layout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Graphiques!$P$73</c:f>
              <c:strCache>
                <c:ptCount val="1"/>
                <c:pt idx="0">
                  <c:v>Ressources Humaines</c:v>
                </c:pt>
              </c:strCache>
            </c:strRef>
          </c:tx>
          <c:spPr>
            <a:solidFill>
              <a:srgbClr val="4A7CC7"/>
            </a:solidFill>
            <a:ln>
              <a:solidFill>
                <a:srgbClr val="4A7CC7"/>
              </a:solidFill>
              <a:prstDash val="solid"/>
            </a:ln>
          </c:spPr>
          <c:invertIfNegative val="1"/>
          <c:cat>
            <c:strRef>
              <c:f>Graphiques!$O$74:$O$77</c:f>
              <c:strCache>
                <c:ptCount val="4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</c:strCache>
            </c:strRef>
          </c:cat>
          <c:val>
            <c:numRef>
              <c:f>Graphiques!$P$74:$P$77</c:f>
              <c:numCache>
                <c:formatCode>General</c:formatCode>
                <c:ptCount val="4"/>
                <c:pt idx="0">
                  <c:v>6000</c:v>
                </c:pt>
                <c:pt idx="1">
                  <c:v>7000</c:v>
                </c:pt>
                <c:pt idx="2">
                  <c:v>-1000</c:v>
                </c:pt>
                <c:pt idx="3">
                  <c:v>9000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A7CC7"/>
                    </a:solidFill>
                    <a:prstDash val="solid"/>
                  </a:ln>
                </c14:spPr>
              </c14:invertSolidFillFmt>
            </c:ext>
          </c:extLst>
        </c:ser>
        <c:ser>
          <c:idx val="1"/>
          <c:order val="1"/>
          <c:tx>
            <c:strRef>
              <c:f>Graphiques!$Q$73</c:f>
              <c:strCache>
                <c:ptCount val="1"/>
                <c:pt idx="0">
                  <c:v>Marketing &amp; Communication</c:v>
                </c:pt>
              </c:strCache>
            </c:strRef>
          </c:tx>
          <c:spPr>
            <a:solidFill>
              <a:srgbClr val="D4873A"/>
            </a:solidFill>
            <a:ln>
              <a:solidFill>
                <a:srgbClr val="D4873A"/>
              </a:solidFill>
              <a:prstDash val="solid"/>
            </a:ln>
          </c:spPr>
          <c:invertIfNegative val="1"/>
          <c:cat>
            <c:strRef>
              <c:f>Graphiques!$O$74:$O$77</c:f>
              <c:strCache>
                <c:ptCount val="4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</c:strCache>
            </c:strRef>
          </c:cat>
          <c:val>
            <c:numRef>
              <c:f>Graphiques!$Q$74:$Q$77</c:f>
              <c:numCache>
                <c:formatCode>General</c:formatCode>
                <c:ptCount val="4"/>
                <c:pt idx="0">
                  <c:v>15000</c:v>
                </c:pt>
                <c:pt idx="1">
                  <c:v>41000</c:v>
                </c:pt>
                <c:pt idx="2">
                  <c:v>9000</c:v>
                </c:pt>
                <c:pt idx="3">
                  <c:v>75000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D4873A"/>
                    </a:solidFill>
                    <a:prstDash val="solid"/>
                  </a:ln>
                </c14:spPr>
              </c14:invertSolidFillFmt>
            </c:ext>
          </c:extLst>
        </c:ser>
        <c:ser>
          <c:idx val="2"/>
          <c:order val="2"/>
          <c:tx>
            <c:strRef>
              <c:f>Graphiques!$R$73</c:f>
              <c:strCache>
                <c:ptCount val="1"/>
                <c:pt idx="0">
                  <c:v>Production &amp; Opérations</c:v>
                </c:pt>
              </c:strCache>
            </c:strRef>
          </c:tx>
          <c: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c:spPr>
          <c:invertIfNegative val="1"/>
          <c:cat>
            <c:strRef>
              <c:f>Graphiques!$O$74:$O$77</c:f>
              <c:strCache>
                <c:ptCount val="4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</c:strCache>
            </c:strRef>
          </c:cat>
          <c:val>
            <c:numRef>
              <c:f>Graphiques!$R$74:$R$77</c:f>
              <c:numCache>
                <c:formatCode>General</c:formatCode>
                <c:ptCount val="4"/>
                <c:pt idx="0">
                  <c:v>27000</c:v>
                </c:pt>
                <c:pt idx="1">
                  <c:v>39000</c:v>
                </c:pt>
                <c:pt idx="2">
                  <c:v>76000</c:v>
                </c:pt>
                <c:pt idx="3">
                  <c:v>57000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0392B"/>
                    </a:solidFill>
                    <a:prstDash val="solid"/>
                  </a:ln>
                </c14:spPr>
              </c14:invertSolidFillFmt>
            </c:ext>
          </c:extLst>
        </c:ser>
        <c:ser>
          <c:idx val="3"/>
          <c:order val="3"/>
          <c:tx>
            <c:strRef>
              <c:f>Graphiques!$S$73</c:f>
              <c:strCache>
                <c:ptCount val="1"/>
                <c:pt idx="0">
                  <c:v>IT / Digital</c:v>
                </c:pt>
              </c:strCache>
            </c:strRef>
          </c:tx>
          <c:spPr>
            <a:solidFill>
              <a:srgbClr val="2E8B57"/>
            </a:solidFill>
            <a:ln>
              <a:solidFill>
                <a:srgbClr val="2E8B57"/>
              </a:solidFill>
              <a:prstDash val="solid"/>
            </a:ln>
          </c:spPr>
          <c:invertIfNegative val="1"/>
          <c:cat>
            <c:strRef>
              <c:f>Graphiques!$O$74:$O$77</c:f>
              <c:strCache>
                <c:ptCount val="4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</c:strCache>
            </c:strRef>
          </c:cat>
          <c:val>
            <c:numRef>
              <c:f>Graphiques!$S$74:$S$77</c:f>
              <c:numCache>
                <c:formatCode>General</c:formatCode>
                <c:ptCount val="4"/>
                <c:pt idx="0">
                  <c:v>-2000</c:v>
                </c:pt>
                <c:pt idx="1">
                  <c:v>2000</c:v>
                </c:pt>
                <c:pt idx="2">
                  <c:v>-11000</c:v>
                </c:pt>
                <c:pt idx="3">
                  <c:v>3000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E8B57"/>
                    </a:solidFill>
                    <a:prstDash val="solid"/>
                  </a:ln>
                </c14:spPr>
              </c14:invertSolidFillFmt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20724752"/>
        <c:axId val="820731824"/>
      </c:barChart>
      <c:catAx>
        <c:axId val="820724752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fr-FR"/>
                  <a:t>Trimestre</a:t>
                </a:r>
              </a:p>
            </c:rich>
          </c:tx>
          <c:layout/>
          <c:overlay val="1"/>
        </c:title>
        <c:numFmt formatCode="General" sourceLinked="1"/>
        <c:majorTickMark val="none"/>
        <c:minorTickMark val="none"/>
        <c:tickLblPos val="nextTo"/>
        <c:crossAx val="820731824"/>
        <c:crosses val="autoZero"/>
        <c:auto val="1"/>
        <c:lblAlgn val="ctr"/>
        <c:lblOffset val="100"/>
        <c:noMultiLvlLbl val="1"/>
      </c:catAx>
      <c:valAx>
        <c:axId val="820731824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fr-FR"/>
                  <a:t>Écart (MAD)</a:t>
                </a:r>
              </a:p>
            </c:rich>
          </c:tx>
          <c:layout/>
          <c:overlay val="1"/>
        </c:title>
        <c:numFmt formatCode="General" sourceLinked="1"/>
        <c:majorTickMark val="none"/>
        <c:minorTickMark val="none"/>
        <c:tickLblPos val="nextTo"/>
        <c:crossAx val="82072475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5.2535101010101032E-2"/>
          <c:y val="0.13672499999999999"/>
          <c:w val="0.21625277777777777"/>
          <c:h val="0.18226428571428571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19050</xdr:colOff>
      <xdr:row>3</xdr:row>
      <xdr:rowOff>171450</xdr:rowOff>
    </xdr:from>
    <xdr:ext cx="7920000" cy="50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16</xdr:col>
      <xdr:colOff>285750</xdr:colOff>
      <xdr:row>4</xdr:row>
      <xdr:rowOff>10584</xdr:rowOff>
    </xdr:from>
    <xdr:ext cx="7920000" cy="50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514350</xdr:colOff>
      <xdr:row>31</xdr:row>
      <xdr:rowOff>152400</xdr:rowOff>
    </xdr:from>
    <xdr:ext cx="6705600" cy="50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16</xdr:col>
      <xdr:colOff>304800</xdr:colOff>
      <xdr:row>31</xdr:row>
      <xdr:rowOff>152400</xdr:rowOff>
    </xdr:from>
    <xdr:ext cx="7920000" cy="50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T28"/>
  <sheetViews>
    <sheetView showGridLines="0" tabSelected="1" zoomScale="80" zoomScaleNormal="80" workbookViewId="0">
      <pane xSplit="3" ySplit="4" topLeftCell="D5" activePane="bottomRight" state="frozen"/>
      <selection pane="topRight"/>
      <selection pane="bottomLeft"/>
      <selection pane="bottomRight" activeCell="F30" sqref="F30"/>
    </sheetView>
  </sheetViews>
  <sheetFormatPr baseColWidth="10" defaultColWidth="9.140625" defaultRowHeight="15" x14ac:dyDescent="0.25"/>
  <cols>
    <col min="1" max="1" width="2" customWidth="1"/>
    <col min="2" max="2" width="76.7109375" customWidth="1"/>
    <col min="3" max="3" width="16" customWidth="1"/>
    <col min="4" max="16" width="15.7109375" customWidth="1"/>
    <col min="17" max="17" width="23.140625" customWidth="1"/>
    <col min="18" max="18" width="23" customWidth="1"/>
    <col min="19" max="19" width="14" customWidth="1"/>
    <col min="20" max="20" width="16" customWidth="1"/>
  </cols>
  <sheetData>
    <row r="1" spans="2:20" ht="32.1" customHeight="1" x14ac:dyDescent="0.25">
      <c r="B1" s="59" t="s">
        <v>0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</row>
    <row r="2" spans="2:20" ht="18" customHeight="1" x14ac:dyDescent="0.25">
      <c r="B2" s="55" t="s">
        <v>1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</row>
    <row r="3" spans="2:20" ht="3.95" customHeight="1" x14ac:dyDescent="0.25"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2:20" ht="21.95" customHeight="1" x14ac:dyDescent="0.25"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  <c r="I4" s="2" t="s">
        <v>9</v>
      </c>
      <c r="J4" s="2" t="s">
        <v>10</v>
      </c>
      <c r="K4" s="2" t="s">
        <v>11</v>
      </c>
      <c r="L4" s="2" t="s">
        <v>12</v>
      </c>
      <c r="M4" s="2" t="s">
        <v>13</v>
      </c>
      <c r="N4" s="2" t="s">
        <v>14</v>
      </c>
      <c r="O4" s="2" t="s">
        <v>15</v>
      </c>
      <c r="P4" s="2" t="s">
        <v>16</v>
      </c>
      <c r="Q4" s="2" t="s">
        <v>17</v>
      </c>
      <c r="R4" s="2" t="s">
        <v>18</v>
      </c>
      <c r="S4" s="2" t="s">
        <v>19</v>
      </c>
    </row>
    <row r="5" spans="2:20" ht="18" customHeight="1" x14ac:dyDescent="0.25">
      <c r="B5" s="57" t="s">
        <v>20</v>
      </c>
      <c r="C5" s="3" t="s">
        <v>21</v>
      </c>
      <c r="D5" s="4">
        <v>285000</v>
      </c>
      <c r="E5" s="4">
        <v>285000</v>
      </c>
      <c r="F5" s="4">
        <v>295000</v>
      </c>
      <c r="G5" s="4">
        <v>285000</v>
      </c>
      <c r="H5" s="4">
        <v>285000</v>
      </c>
      <c r="I5" s="4">
        <v>295000</v>
      </c>
      <c r="J5" s="4">
        <v>285000</v>
      </c>
      <c r="K5" s="4">
        <v>285000</v>
      </c>
      <c r="L5" s="4">
        <v>295000</v>
      </c>
      <c r="M5" s="4">
        <v>290000</v>
      </c>
      <c r="N5" s="4">
        <v>290000</v>
      </c>
      <c r="O5" s="4">
        <v>310000</v>
      </c>
      <c r="Q5" s="5">
        <f>SUM(D5:O5)</f>
        <v>3485000</v>
      </c>
      <c r="R5" s="62">
        <f>Q6-Q5</f>
        <v>21000</v>
      </c>
      <c r="S5" s="68">
        <f>IF(Q5&lt;&gt;0,Q6/Q5-1,0)</f>
        <v>6.0258249641320649E-3</v>
      </c>
      <c r="T5" s="63" t="s">
        <v>22</v>
      </c>
    </row>
    <row r="6" spans="2:20" ht="18" customHeight="1" x14ac:dyDescent="0.25">
      <c r="B6" s="56"/>
      <c r="C6" s="6" t="s">
        <v>23</v>
      </c>
      <c r="D6" s="7">
        <v>281000</v>
      </c>
      <c r="E6" s="7">
        <v>292000</v>
      </c>
      <c r="F6" s="7">
        <v>298000</v>
      </c>
      <c r="G6" s="7">
        <v>288000</v>
      </c>
      <c r="H6" s="7">
        <v>283000</v>
      </c>
      <c r="I6" s="7">
        <v>301000</v>
      </c>
      <c r="J6" s="7">
        <v>290000</v>
      </c>
      <c r="K6" s="7">
        <v>279000</v>
      </c>
      <c r="L6" s="7">
        <v>295000</v>
      </c>
      <c r="M6" s="7">
        <v>296000</v>
      </c>
      <c r="N6" s="7">
        <v>288000</v>
      </c>
      <c r="O6" s="7">
        <v>315000</v>
      </c>
      <c r="Q6" s="8">
        <f>SUM(D6:O6)</f>
        <v>3506000</v>
      </c>
      <c r="R6" s="56"/>
      <c r="S6" s="56"/>
      <c r="T6" s="56"/>
    </row>
    <row r="7" spans="2:20" ht="18" customHeight="1" x14ac:dyDescent="0.25">
      <c r="B7" s="56"/>
      <c r="C7" s="9" t="s">
        <v>24</v>
      </c>
      <c r="D7" s="10">
        <f t="shared" ref="D7:O7" si="0">D6-D5</f>
        <v>-4000</v>
      </c>
      <c r="E7" s="10">
        <f t="shared" si="0"/>
        <v>7000</v>
      </c>
      <c r="F7" s="10">
        <f t="shared" si="0"/>
        <v>3000</v>
      </c>
      <c r="G7" s="10">
        <f t="shared" si="0"/>
        <v>3000</v>
      </c>
      <c r="H7" s="10">
        <f t="shared" si="0"/>
        <v>-2000</v>
      </c>
      <c r="I7" s="10">
        <f t="shared" si="0"/>
        <v>6000</v>
      </c>
      <c r="J7" s="10">
        <f t="shared" si="0"/>
        <v>5000</v>
      </c>
      <c r="K7" s="10">
        <f t="shared" si="0"/>
        <v>-6000</v>
      </c>
      <c r="L7" s="10">
        <f t="shared" si="0"/>
        <v>0</v>
      </c>
      <c r="M7" s="10">
        <f t="shared" si="0"/>
        <v>6000</v>
      </c>
      <c r="N7" s="10">
        <f t="shared" si="0"/>
        <v>-2000</v>
      </c>
      <c r="O7" s="10">
        <f t="shared" si="0"/>
        <v>5000</v>
      </c>
      <c r="Q7" s="10">
        <f>Q6-Q5</f>
        <v>21000</v>
      </c>
      <c r="R7" s="56"/>
      <c r="S7" s="56"/>
      <c r="T7" s="56"/>
    </row>
    <row r="8" spans="2:20" ht="18" customHeight="1" x14ac:dyDescent="0.25">
      <c r="B8" s="56"/>
      <c r="C8" s="11" t="s">
        <v>25</v>
      </c>
      <c r="D8" s="12">
        <f t="shared" ref="D8:O8" si="1">IF(D5&lt;&gt;0,D6/D5-1,0)</f>
        <v>-1.4035087719298289E-2</v>
      </c>
      <c r="E8" s="12">
        <f t="shared" si="1"/>
        <v>2.4561403508772006E-2</v>
      </c>
      <c r="F8" s="12">
        <f t="shared" si="1"/>
        <v>1.0169491525423791E-2</v>
      </c>
      <c r="G8" s="12">
        <f t="shared" si="1"/>
        <v>1.0526315789473717E-2</v>
      </c>
      <c r="H8" s="12">
        <f t="shared" si="1"/>
        <v>-7.0175438596491446E-3</v>
      </c>
      <c r="I8" s="12">
        <f t="shared" si="1"/>
        <v>2.0338983050847359E-2</v>
      </c>
      <c r="J8" s="12">
        <f t="shared" si="1"/>
        <v>1.7543859649122862E-2</v>
      </c>
      <c r="K8" s="12">
        <f t="shared" si="1"/>
        <v>-2.1052631578947323E-2</v>
      </c>
      <c r="L8" s="12">
        <f t="shared" si="1"/>
        <v>0</v>
      </c>
      <c r="M8" s="12">
        <f t="shared" si="1"/>
        <v>2.0689655172413834E-2</v>
      </c>
      <c r="N8" s="12">
        <f t="shared" si="1"/>
        <v>-6.8965517241379448E-3</v>
      </c>
      <c r="O8" s="12">
        <f t="shared" si="1"/>
        <v>1.6129032258064502E-2</v>
      </c>
      <c r="Q8" s="12">
        <f>IF(Q5&lt;&gt;0,Q6/Q5-1,0)</f>
        <v>6.0258249641320649E-3</v>
      </c>
      <c r="R8" s="56"/>
      <c r="S8" s="56"/>
      <c r="T8" s="56"/>
    </row>
    <row r="9" spans="2:20" ht="5.0999999999999996" customHeight="1" x14ac:dyDescent="0.25"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</row>
    <row r="10" spans="2:20" ht="18" customHeight="1" x14ac:dyDescent="0.25">
      <c r="B10" s="64" t="s">
        <v>26</v>
      </c>
      <c r="C10" s="14" t="s">
        <v>21</v>
      </c>
      <c r="D10" s="15">
        <v>180000</v>
      </c>
      <c r="E10" s="15">
        <v>180000</v>
      </c>
      <c r="F10" s="15">
        <v>200000</v>
      </c>
      <c r="G10" s="15">
        <v>220000</v>
      </c>
      <c r="H10" s="15">
        <v>220000</v>
      </c>
      <c r="I10" s="15">
        <v>200000</v>
      </c>
      <c r="J10" s="15">
        <v>160000</v>
      </c>
      <c r="K10" s="15">
        <v>160000</v>
      </c>
      <c r="L10" s="15">
        <v>180000</v>
      </c>
      <c r="M10" s="15">
        <v>200000</v>
      </c>
      <c r="N10" s="15">
        <v>210000</v>
      </c>
      <c r="O10" s="15">
        <v>250000</v>
      </c>
      <c r="Q10" s="16">
        <f>SUM(D10:O10)</f>
        <v>2360000</v>
      </c>
      <c r="R10" s="70">
        <f>Q11-Q10</f>
        <v>140000</v>
      </c>
      <c r="S10" s="65">
        <f>IF(Q10&lt;&gt;0,Q11/Q10-1,0)</f>
        <v>5.9322033898305149E-2</v>
      </c>
      <c r="T10" s="61" t="s">
        <v>22</v>
      </c>
    </row>
    <row r="11" spans="2:20" ht="18" customHeight="1" x14ac:dyDescent="0.25">
      <c r="B11" s="56"/>
      <c r="C11" s="6" t="s">
        <v>23</v>
      </c>
      <c r="D11" s="7">
        <v>172000</v>
      </c>
      <c r="E11" s="7">
        <v>188000</v>
      </c>
      <c r="F11" s="7">
        <v>215000</v>
      </c>
      <c r="G11" s="7">
        <v>238000</v>
      </c>
      <c r="H11" s="7">
        <v>245000</v>
      </c>
      <c r="I11" s="7">
        <v>198000</v>
      </c>
      <c r="J11" s="7">
        <v>155000</v>
      </c>
      <c r="K11" s="7">
        <v>162000</v>
      </c>
      <c r="L11" s="7">
        <v>192000</v>
      </c>
      <c r="M11" s="7">
        <v>222000</v>
      </c>
      <c r="N11" s="7">
        <v>228000</v>
      </c>
      <c r="O11" s="7">
        <v>285000</v>
      </c>
      <c r="Q11" s="8">
        <f>SUM(D11:O11)</f>
        <v>2500000</v>
      </c>
      <c r="R11" s="56"/>
      <c r="S11" s="56"/>
      <c r="T11" s="56"/>
    </row>
    <row r="12" spans="2:20" ht="18" customHeight="1" x14ac:dyDescent="0.25">
      <c r="B12" s="56"/>
      <c r="C12" s="9" t="s">
        <v>24</v>
      </c>
      <c r="D12" s="10">
        <f t="shared" ref="D12:O12" si="2">D11-D10</f>
        <v>-8000</v>
      </c>
      <c r="E12" s="10">
        <f t="shared" si="2"/>
        <v>8000</v>
      </c>
      <c r="F12" s="10">
        <f t="shared" si="2"/>
        <v>15000</v>
      </c>
      <c r="G12" s="10">
        <f t="shared" si="2"/>
        <v>18000</v>
      </c>
      <c r="H12" s="10">
        <f t="shared" si="2"/>
        <v>25000</v>
      </c>
      <c r="I12" s="10">
        <f t="shared" si="2"/>
        <v>-2000</v>
      </c>
      <c r="J12" s="10">
        <f t="shared" si="2"/>
        <v>-5000</v>
      </c>
      <c r="K12" s="10">
        <f t="shared" si="2"/>
        <v>2000</v>
      </c>
      <c r="L12" s="10">
        <f t="shared" si="2"/>
        <v>12000</v>
      </c>
      <c r="M12" s="10">
        <f t="shared" si="2"/>
        <v>22000</v>
      </c>
      <c r="N12" s="10">
        <f t="shared" si="2"/>
        <v>18000</v>
      </c>
      <c r="O12" s="10">
        <f t="shared" si="2"/>
        <v>35000</v>
      </c>
      <c r="Q12" s="10">
        <f>Q11-Q10</f>
        <v>140000</v>
      </c>
      <c r="R12" s="56"/>
      <c r="S12" s="56"/>
      <c r="T12" s="56"/>
    </row>
    <row r="13" spans="2:20" ht="18" customHeight="1" x14ac:dyDescent="0.25">
      <c r="B13" s="56"/>
      <c r="C13" s="11" t="s">
        <v>25</v>
      </c>
      <c r="D13" s="12">
        <f t="shared" ref="D13:O13" si="3">IF(D10&lt;&gt;0,D11/D10-1,0)</f>
        <v>-4.4444444444444398E-2</v>
      </c>
      <c r="E13" s="12">
        <f t="shared" si="3"/>
        <v>4.4444444444444509E-2</v>
      </c>
      <c r="F13" s="12">
        <f t="shared" si="3"/>
        <v>7.4999999999999956E-2</v>
      </c>
      <c r="G13" s="12">
        <f t="shared" si="3"/>
        <v>8.181818181818179E-2</v>
      </c>
      <c r="H13" s="12">
        <f t="shared" si="3"/>
        <v>0.11363636363636354</v>
      </c>
      <c r="I13" s="12">
        <f t="shared" si="3"/>
        <v>-1.0000000000000009E-2</v>
      </c>
      <c r="J13" s="12">
        <f t="shared" si="3"/>
        <v>-3.125E-2</v>
      </c>
      <c r="K13" s="12">
        <f t="shared" si="3"/>
        <v>1.2499999999999956E-2</v>
      </c>
      <c r="L13" s="12">
        <f t="shared" si="3"/>
        <v>6.6666666666666652E-2</v>
      </c>
      <c r="M13" s="12">
        <f t="shared" si="3"/>
        <v>0.1100000000000001</v>
      </c>
      <c r="N13" s="12">
        <f t="shared" si="3"/>
        <v>8.5714285714285632E-2</v>
      </c>
      <c r="O13" s="12">
        <f t="shared" si="3"/>
        <v>0.1399999999999999</v>
      </c>
      <c r="Q13" s="12">
        <f>IF(Q10&lt;&gt;0,Q11/Q10-1,0)</f>
        <v>5.9322033898305149E-2</v>
      </c>
      <c r="R13" s="56"/>
      <c r="S13" s="56"/>
      <c r="T13" s="56"/>
    </row>
    <row r="14" spans="2:20" ht="5.0999999999999996" customHeight="1" x14ac:dyDescent="0.25"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</row>
    <row r="15" spans="2:20" ht="18" customHeight="1" x14ac:dyDescent="0.25">
      <c r="B15" s="66" t="s">
        <v>27</v>
      </c>
      <c r="C15" s="17" t="s">
        <v>21</v>
      </c>
      <c r="D15" s="18">
        <v>520000</v>
      </c>
      <c r="E15" s="18">
        <v>520000</v>
      </c>
      <c r="F15" s="18">
        <v>540000</v>
      </c>
      <c r="G15" s="18">
        <v>510000</v>
      </c>
      <c r="H15" s="18">
        <v>510000</v>
      </c>
      <c r="I15" s="18">
        <v>550000</v>
      </c>
      <c r="J15" s="18">
        <v>530000</v>
      </c>
      <c r="K15" s="18">
        <v>530000</v>
      </c>
      <c r="L15" s="18">
        <v>545000</v>
      </c>
      <c r="M15" s="18">
        <v>520000</v>
      </c>
      <c r="N15" s="18">
        <v>520000</v>
      </c>
      <c r="O15" s="18">
        <v>560000</v>
      </c>
      <c r="Q15" s="19">
        <f>SUM(D15:O15)</f>
        <v>6355000</v>
      </c>
      <c r="R15" s="71">
        <f>Q16-Q15</f>
        <v>199000</v>
      </c>
      <c r="S15" s="67">
        <f>IF(Q15&lt;&gt;0,Q16/Q15-1,0)</f>
        <v>3.1313926042486173E-2</v>
      </c>
      <c r="T15" s="61" t="s">
        <v>22</v>
      </c>
    </row>
    <row r="16" spans="2:20" ht="18" customHeight="1" x14ac:dyDescent="0.25">
      <c r="B16" s="56"/>
      <c r="C16" s="6" t="s">
        <v>23</v>
      </c>
      <c r="D16" s="7">
        <v>518000</v>
      </c>
      <c r="E16" s="7">
        <v>531000</v>
      </c>
      <c r="F16" s="7">
        <v>558000</v>
      </c>
      <c r="G16" s="7">
        <v>512000</v>
      </c>
      <c r="H16" s="7">
        <v>525000</v>
      </c>
      <c r="I16" s="7">
        <v>572000</v>
      </c>
      <c r="J16" s="7">
        <v>548000</v>
      </c>
      <c r="K16" s="7">
        <v>562000</v>
      </c>
      <c r="L16" s="7">
        <v>571000</v>
      </c>
      <c r="M16" s="7">
        <v>535000</v>
      </c>
      <c r="N16" s="7">
        <v>542000</v>
      </c>
      <c r="O16" s="7">
        <v>580000</v>
      </c>
      <c r="Q16" s="8">
        <f>SUM(D16:O16)</f>
        <v>6554000</v>
      </c>
      <c r="R16" s="56"/>
      <c r="S16" s="56"/>
      <c r="T16" s="56"/>
    </row>
    <row r="17" spans="2:20" ht="18" customHeight="1" x14ac:dyDescent="0.25">
      <c r="B17" s="56"/>
      <c r="C17" s="9" t="s">
        <v>24</v>
      </c>
      <c r="D17" s="10">
        <f t="shared" ref="D17:O17" si="4">D16-D15</f>
        <v>-2000</v>
      </c>
      <c r="E17" s="10">
        <f t="shared" si="4"/>
        <v>11000</v>
      </c>
      <c r="F17" s="10">
        <f t="shared" si="4"/>
        <v>18000</v>
      </c>
      <c r="G17" s="10">
        <f t="shared" si="4"/>
        <v>2000</v>
      </c>
      <c r="H17" s="10">
        <f t="shared" si="4"/>
        <v>15000</v>
      </c>
      <c r="I17" s="10">
        <f t="shared" si="4"/>
        <v>22000</v>
      </c>
      <c r="J17" s="10">
        <f t="shared" si="4"/>
        <v>18000</v>
      </c>
      <c r="K17" s="10">
        <f t="shared" si="4"/>
        <v>32000</v>
      </c>
      <c r="L17" s="10">
        <f t="shared" si="4"/>
        <v>26000</v>
      </c>
      <c r="M17" s="10">
        <f t="shared" si="4"/>
        <v>15000</v>
      </c>
      <c r="N17" s="10">
        <f t="shared" si="4"/>
        <v>22000</v>
      </c>
      <c r="O17" s="10">
        <f t="shared" si="4"/>
        <v>20000</v>
      </c>
      <c r="Q17" s="10">
        <f>Q16-Q15</f>
        <v>199000</v>
      </c>
      <c r="R17" s="56"/>
      <c r="S17" s="56"/>
      <c r="T17" s="56"/>
    </row>
    <row r="18" spans="2:20" ht="18" customHeight="1" x14ac:dyDescent="0.25">
      <c r="B18" s="56"/>
      <c r="C18" s="11" t="s">
        <v>25</v>
      </c>
      <c r="D18" s="12">
        <f t="shared" ref="D18:O18" si="5">IF(D15&lt;&gt;0,D16/D15-1,0)</f>
        <v>-3.8461538461538325E-3</v>
      </c>
      <c r="E18" s="12">
        <f t="shared" si="5"/>
        <v>2.1153846153846079E-2</v>
      </c>
      <c r="F18" s="12">
        <f t="shared" si="5"/>
        <v>3.3333333333333437E-2</v>
      </c>
      <c r="G18" s="12">
        <f t="shared" si="5"/>
        <v>3.9215686274509665E-3</v>
      </c>
      <c r="H18" s="12">
        <f t="shared" si="5"/>
        <v>2.9411764705882248E-2</v>
      </c>
      <c r="I18" s="12">
        <f t="shared" si="5"/>
        <v>4.0000000000000036E-2</v>
      </c>
      <c r="J18" s="12">
        <f t="shared" si="5"/>
        <v>3.3962264150943389E-2</v>
      </c>
      <c r="K18" s="12">
        <f t="shared" si="5"/>
        <v>6.0377358490566024E-2</v>
      </c>
      <c r="L18" s="12">
        <f t="shared" si="5"/>
        <v>4.7706422018348515E-2</v>
      </c>
      <c r="M18" s="12">
        <f t="shared" si="5"/>
        <v>2.8846153846153744E-2</v>
      </c>
      <c r="N18" s="12">
        <f t="shared" si="5"/>
        <v>4.2307692307692379E-2</v>
      </c>
      <c r="O18" s="12">
        <f t="shared" si="5"/>
        <v>3.5714285714285809E-2</v>
      </c>
      <c r="Q18" s="12">
        <f>IF(Q15&lt;&gt;0,Q16/Q15-1,0)</f>
        <v>3.1313926042486173E-2</v>
      </c>
      <c r="R18" s="56"/>
      <c r="S18" s="56"/>
      <c r="T18" s="56"/>
    </row>
    <row r="19" spans="2:20" ht="5.0999999999999996" customHeight="1" x14ac:dyDescent="0.25"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</row>
    <row r="20" spans="2:20" ht="18" customHeight="1" x14ac:dyDescent="0.25">
      <c r="B20" s="58" t="s">
        <v>28</v>
      </c>
      <c r="C20" s="20" t="s">
        <v>21</v>
      </c>
      <c r="D20" s="21">
        <v>150000</v>
      </c>
      <c r="E20" s="21">
        <v>150000</v>
      </c>
      <c r="F20" s="21">
        <v>160000</v>
      </c>
      <c r="G20" s="21">
        <v>150000</v>
      </c>
      <c r="H20" s="21">
        <v>150000</v>
      </c>
      <c r="I20" s="21">
        <v>160000</v>
      </c>
      <c r="J20" s="21">
        <v>150000</v>
      </c>
      <c r="K20" s="21">
        <v>150000</v>
      </c>
      <c r="L20" s="21">
        <v>160000</v>
      </c>
      <c r="M20" s="21">
        <v>155000</v>
      </c>
      <c r="N20" s="21">
        <v>155000</v>
      </c>
      <c r="O20" s="21">
        <v>175000</v>
      </c>
      <c r="Q20" s="22">
        <f>SUM(D20:O20)</f>
        <v>1865000</v>
      </c>
      <c r="R20" s="72">
        <f>Q21-Q20</f>
        <v>-8000</v>
      </c>
      <c r="S20" s="73">
        <f>IF(Q20&lt;&gt;0,Q21/Q20-1,0)</f>
        <v>-4.2895442359249802E-3</v>
      </c>
      <c r="T20" s="69" t="s">
        <v>29</v>
      </c>
    </row>
    <row r="21" spans="2:20" ht="18" customHeight="1" x14ac:dyDescent="0.25">
      <c r="B21" s="56"/>
      <c r="C21" s="6" t="s">
        <v>23</v>
      </c>
      <c r="D21" s="7">
        <v>148000</v>
      </c>
      <c r="E21" s="7">
        <v>152000</v>
      </c>
      <c r="F21" s="7">
        <v>158000</v>
      </c>
      <c r="G21" s="7">
        <v>147000</v>
      </c>
      <c r="H21" s="7">
        <v>153000</v>
      </c>
      <c r="I21" s="7">
        <v>162000</v>
      </c>
      <c r="J21" s="7">
        <v>145000</v>
      </c>
      <c r="K21" s="7">
        <v>149000</v>
      </c>
      <c r="L21" s="7">
        <v>155000</v>
      </c>
      <c r="M21" s="7">
        <v>159000</v>
      </c>
      <c r="N21" s="7">
        <v>157000</v>
      </c>
      <c r="O21" s="7">
        <v>172000</v>
      </c>
      <c r="Q21" s="8">
        <f>SUM(D21:O21)</f>
        <v>1857000</v>
      </c>
      <c r="R21" s="56"/>
      <c r="S21" s="56"/>
      <c r="T21" s="56"/>
    </row>
    <row r="22" spans="2:20" ht="18" customHeight="1" x14ac:dyDescent="0.25">
      <c r="B22" s="56"/>
      <c r="C22" s="9" t="s">
        <v>24</v>
      </c>
      <c r="D22" s="23">
        <f t="shared" ref="D22:O22" si="6">D21-D20</f>
        <v>-2000</v>
      </c>
      <c r="E22" s="23">
        <f t="shared" si="6"/>
        <v>2000</v>
      </c>
      <c r="F22" s="23">
        <f t="shared" si="6"/>
        <v>-2000</v>
      </c>
      <c r="G22" s="23">
        <f t="shared" si="6"/>
        <v>-3000</v>
      </c>
      <c r="H22" s="23">
        <f t="shared" si="6"/>
        <v>3000</v>
      </c>
      <c r="I22" s="23">
        <f t="shared" si="6"/>
        <v>2000</v>
      </c>
      <c r="J22" s="23">
        <f t="shared" si="6"/>
        <v>-5000</v>
      </c>
      <c r="K22" s="23">
        <f t="shared" si="6"/>
        <v>-1000</v>
      </c>
      <c r="L22" s="23">
        <f t="shared" si="6"/>
        <v>-5000</v>
      </c>
      <c r="M22" s="23">
        <f t="shared" si="6"/>
        <v>4000</v>
      </c>
      <c r="N22" s="23">
        <f t="shared" si="6"/>
        <v>2000</v>
      </c>
      <c r="O22" s="23">
        <f t="shared" si="6"/>
        <v>-3000</v>
      </c>
      <c r="Q22" s="23">
        <f>Q21-Q20</f>
        <v>-8000</v>
      </c>
      <c r="R22" s="56"/>
      <c r="S22" s="56"/>
      <c r="T22" s="56"/>
    </row>
    <row r="23" spans="2:20" ht="18" customHeight="1" x14ac:dyDescent="0.25">
      <c r="B23" s="56"/>
      <c r="C23" s="11" t="s">
        <v>25</v>
      </c>
      <c r="D23" s="24">
        <f t="shared" ref="D23:O23" si="7">IF(D20&lt;&gt;0,D21/D20-1,0)</f>
        <v>-1.3333333333333308E-2</v>
      </c>
      <c r="E23" s="24">
        <f t="shared" si="7"/>
        <v>1.3333333333333419E-2</v>
      </c>
      <c r="F23" s="24">
        <f t="shared" si="7"/>
        <v>-1.2499999999999956E-2</v>
      </c>
      <c r="G23" s="24">
        <f t="shared" si="7"/>
        <v>-2.0000000000000018E-2</v>
      </c>
      <c r="H23" s="24">
        <f t="shared" si="7"/>
        <v>2.0000000000000018E-2</v>
      </c>
      <c r="I23" s="24">
        <f t="shared" si="7"/>
        <v>1.2499999999999956E-2</v>
      </c>
      <c r="J23" s="24">
        <f t="shared" si="7"/>
        <v>-3.3333333333333326E-2</v>
      </c>
      <c r="K23" s="24">
        <f t="shared" si="7"/>
        <v>-6.6666666666667096E-3</v>
      </c>
      <c r="L23" s="24">
        <f t="shared" si="7"/>
        <v>-3.125E-2</v>
      </c>
      <c r="M23" s="24">
        <f t="shared" si="7"/>
        <v>2.5806451612903292E-2</v>
      </c>
      <c r="N23" s="24">
        <f t="shared" si="7"/>
        <v>1.2903225806451646E-2</v>
      </c>
      <c r="O23" s="24">
        <f t="shared" si="7"/>
        <v>-1.7142857142857126E-2</v>
      </c>
      <c r="Q23" s="24">
        <f>IF(Q20&lt;&gt;0,Q21/Q20-1,0)</f>
        <v>-4.2895442359249802E-3</v>
      </c>
      <c r="R23" s="56"/>
      <c r="S23" s="56"/>
      <c r="T23" s="56"/>
    </row>
    <row r="24" spans="2:20" ht="5.0999999999999996" customHeigh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</row>
    <row r="25" spans="2:20" ht="20.100000000000001" customHeight="1" x14ac:dyDescent="0.25">
      <c r="B25" s="60" t="s">
        <v>30</v>
      </c>
      <c r="C25" s="25" t="s">
        <v>31</v>
      </c>
      <c r="D25" s="26">
        <f t="shared" ref="D25:O25" si="8">D5+D10+D15+D20</f>
        <v>1135000</v>
      </c>
      <c r="E25" s="26">
        <f t="shared" si="8"/>
        <v>1135000</v>
      </c>
      <c r="F25" s="26">
        <f t="shared" si="8"/>
        <v>1195000</v>
      </c>
      <c r="G25" s="26">
        <f t="shared" si="8"/>
        <v>1165000</v>
      </c>
      <c r="H25" s="26">
        <f t="shared" si="8"/>
        <v>1165000</v>
      </c>
      <c r="I25" s="26">
        <f t="shared" si="8"/>
        <v>1205000</v>
      </c>
      <c r="J25" s="26">
        <f t="shared" si="8"/>
        <v>1125000</v>
      </c>
      <c r="K25" s="26">
        <f t="shared" si="8"/>
        <v>1125000</v>
      </c>
      <c r="L25" s="26">
        <f t="shared" si="8"/>
        <v>1180000</v>
      </c>
      <c r="M25" s="26">
        <f t="shared" si="8"/>
        <v>1165000</v>
      </c>
      <c r="N25" s="26">
        <f t="shared" si="8"/>
        <v>1175000</v>
      </c>
      <c r="O25" s="26">
        <f t="shared" si="8"/>
        <v>1295000</v>
      </c>
      <c r="Q25" s="26">
        <f>SUM(D25:O25)</f>
        <v>14065000</v>
      </c>
      <c r="R25" s="27"/>
      <c r="S25" s="27"/>
      <c r="T25" s="27"/>
    </row>
    <row r="26" spans="2:20" ht="20.100000000000001" customHeight="1" x14ac:dyDescent="0.25">
      <c r="B26" s="56"/>
      <c r="C26" s="25" t="s">
        <v>32</v>
      </c>
      <c r="D26" s="26">
        <f t="shared" ref="D26:O26" si="9">D6+D11+D16+D21</f>
        <v>1119000</v>
      </c>
      <c r="E26" s="26">
        <f t="shared" si="9"/>
        <v>1163000</v>
      </c>
      <c r="F26" s="26">
        <f t="shared" si="9"/>
        <v>1229000</v>
      </c>
      <c r="G26" s="26">
        <f t="shared" si="9"/>
        <v>1185000</v>
      </c>
      <c r="H26" s="26">
        <f t="shared" si="9"/>
        <v>1206000</v>
      </c>
      <c r="I26" s="26">
        <f t="shared" si="9"/>
        <v>1233000</v>
      </c>
      <c r="J26" s="26">
        <f t="shared" si="9"/>
        <v>1138000</v>
      </c>
      <c r="K26" s="26">
        <f t="shared" si="9"/>
        <v>1152000</v>
      </c>
      <c r="L26" s="26">
        <f t="shared" si="9"/>
        <v>1213000</v>
      </c>
      <c r="M26" s="26">
        <f t="shared" si="9"/>
        <v>1212000</v>
      </c>
      <c r="N26" s="26">
        <f t="shared" si="9"/>
        <v>1215000</v>
      </c>
      <c r="O26" s="26">
        <f t="shared" si="9"/>
        <v>1352000</v>
      </c>
      <c r="Q26" s="26">
        <f>SUM(D26:O26)</f>
        <v>14417000</v>
      </c>
      <c r="R26" s="27"/>
      <c r="S26" s="27"/>
      <c r="T26" s="27"/>
    </row>
    <row r="27" spans="2:20" ht="20.100000000000001" customHeight="1" x14ac:dyDescent="0.25">
      <c r="B27" s="56"/>
      <c r="C27" s="25" t="s">
        <v>33</v>
      </c>
      <c r="D27" s="28">
        <f t="shared" ref="D27:O27" si="10">D26-D25</f>
        <v>-16000</v>
      </c>
      <c r="E27" s="28">
        <f t="shared" si="10"/>
        <v>28000</v>
      </c>
      <c r="F27" s="28">
        <f t="shared" si="10"/>
        <v>34000</v>
      </c>
      <c r="G27" s="28">
        <f t="shared" si="10"/>
        <v>20000</v>
      </c>
      <c r="H27" s="28">
        <f t="shared" si="10"/>
        <v>41000</v>
      </c>
      <c r="I27" s="28">
        <f t="shared" si="10"/>
        <v>28000</v>
      </c>
      <c r="J27" s="28">
        <f t="shared" si="10"/>
        <v>13000</v>
      </c>
      <c r="K27" s="28">
        <f t="shared" si="10"/>
        <v>27000</v>
      </c>
      <c r="L27" s="28">
        <f t="shared" si="10"/>
        <v>33000</v>
      </c>
      <c r="M27" s="28">
        <f t="shared" si="10"/>
        <v>47000</v>
      </c>
      <c r="N27" s="28">
        <f t="shared" si="10"/>
        <v>40000</v>
      </c>
      <c r="O27" s="28">
        <f t="shared" si="10"/>
        <v>57000</v>
      </c>
      <c r="Q27" s="28">
        <f>Q26-Q25</f>
        <v>352000</v>
      </c>
      <c r="R27" s="27"/>
      <c r="S27" s="27"/>
      <c r="T27" s="27"/>
    </row>
    <row r="28" spans="2:20" ht="20.100000000000001" customHeight="1" x14ac:dyDescent="0.25">
      <c r="B28" s="56"/>
      <c r="C28" s="25" t="s">
        <v>34</v>
      </c>
      <c r="D28" s="29">
        <f t="shared" ref="D28:O28" si="11">IF(D26&lt;&gt;0,D27/D26-1,0)</f>
        <v>-1.0142984807864164</v>
      </c>
      <c r="E28" s="29">
        <f t="shared" si="11"/>
        <v>-0.97592433361994846</v>
      </c>
      <c r="F28" s="29">
        <f t="shared" si="11"/>
        <v>-0.97233523189585025</v>
      </c>
      <c r="G28" s="29">
        <f t="shared" si="11"/>
        <v>-0.9831223628691983</v>
      </c>
      <c r="H28" s="29">
        <f t="shared" si="11"/>
        <v>-0.96600331674958539</v>
      </c>
      <c r="I28" s="29">
        <f t="shared" si="11"/>
        <v>-0.97729115977291159</v>
      </c>
      <c r="J28" s="29">
        <f t="shared" si="11"/>
        <v>-0.98857644991212656</v>
      </c>
      <c r="K28" s="29">
        <f t="shared" si="11"/>
        <v>-0.9765625</v>
      </c>
      <c r="L28" s="29">
        <f t="shared" si="11"/>
        <v>-0.97279472382522669</v>
      </c>
      <c r="M28" s="29">
        <f t="shared" si="11"/>
        <v>-0.96122112211221122</v>
      </c>
      <c r="N28" s="29">
        <f t="shared" si="11"/>
        <v>-0.96707818930041156</v>
      </c>
      <c r="O28" s="29">
        <f t="shared" si="11"/>
        <v>-0.95784023668639051</v>
      </c>
      <c r="Q28" s="29">
        <f>IF(Q26&lt;&gt;0,Q27/Q26-1,0)</f>
        <v>-0.9755843795519179</v>
      </c>
      <c r="R28" s="27"/>
      <c r="S28" s="27"/>
      <c r="T28" s="27"/>
    </row>
  </sheetData>
  <mergeCells count="19">
    <mergeCell ref="R15:R18"/>
    <mergeCell ref="R20:R23"/>
    <mergeCell ref="S20:S23"/>
    <mergeCell ref="B2:T2"/>
    <mergeCell ref="B5:B8"/>
    <mergeCell ref="B20:B23"/>
    <mergeCell ref="B1:T1"/>
    <mergeCell ref="B25:B28"/>
    <mergeCell ref="T15:T18"/>
    <mergeCell ref="R5:R8"/>
    <mergeCell ref="T5:T8"/>
    <mergeCell ref="B10:B13"/>
    <mergeCell ref="S10:S13"/>
    <mergeCell ref="B15:B18"/>
    <mergeCell ref="S15:S18"/>
    <mergeCell ref="S5:S8"/>
    <mergeCell ref="T20:T23"/>
    <mergeCell ref="R10:R13"/>
    <mergeCell ref="T10:T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25"/>
  <sheetViews>
    <sheetView showGridLines="0" zoomScale="80" zoomScaleNormal="80" workbookViewId="0">
      <selection activeCell="J8" sqref="J8"/>
    </sheetView>
  </sheetViews>
  <sheetFormatPr baseColWidth="10" defaultColWidth="9.140625" defaultRowHeight="15" x14ac:dyDescent="0.25"/>
  <cols>
    <col min="1" max="1" width="2" customWidth="1"/>
    <col min="2" max="4" width="31.28515625" customWidth="1"/>
    <col min="5" max="6" width="18" customWidth="1"/>
  </cols>
  <sheetData>
    <row r="1" spans="2:6" ht="32.1" customHeight="1" x14ac:dyDescent="0.25">
      <c r="B1" s="59" t="s">
        <v>35</v>
      </c>
      <c r="C1" s="56"/>
      <c r="D1" s="56"/>
      <c r="E1" s="56"/>
      <c r="F1" s="56"/>
    </row>
    <row r="2" spans="2:6" ht="18" customHeight="1" x14ac:dyDescent="0.25">
      <c r="B2" s="55" t="s">
        <v>36</v>
      </c>
      <c r="C2" s="56"/>
      <c r="D2" s="56"/>
      <c r="E2" s="56"/>
      <c r="F2" s="56"/>
    </row>
    <row r="3" spans="2:6" ht="3.95" customHeight="1" x14ac:dyDescent="0.25">
      <c r="B3" s="1"/>
      <c r="C3" s="1"/>
      <c r="D3" s="1"/>
      <c r="E3" s="1"/>
      <c r="F3" s="1"/>
    </row>
    <row r="5" spans="2:6" ht="21.95" customHeight="1" x14ac:dyDescent="0.25">
      <c r="B5" s="77" t="s">
        <v>37</v>
      </c>
      <c r="C5" s="56"/>
      <c r="D5" s="56"/>
      <c r="E5" s="56"/>
      <c r="F5" s="56"/>
    </row>
    <row r="6" spans="2:6" ht="18" customHeight="1" x14ac:dyDescent="0.25">
      <c r="B6" s="83" t="s">
        <v>38</v>
      </c>
      <c r="C6" s="86" t="s">
        <v>39</v>
      </c>
      <c r="D6" s="76" t="s">
        <v>40</v>
      </c>
      <c r="E6" s="76" t="s">
        <v>41</v>
      </c>
    </row>
    <row r="7" spans="2:6" ht="30" customHeight="1" x14ac:dyDescent="0.25">
      <c r="B7" s="85">
        <f>'Base de Données'!Q5</f>
        <v>3485000</v>
      </c>
      <c r="C7" s="82">
        <f>'Base de Données'!Q10</f>
        <v>2360000</v>
      </c>
      <c r="D7" s="81">
        <f>'Base de Données'!Q15</f>
        <v>6355000</v>
      </c>
      <c r="E7" s="84">
        <f>IF('Base de Données'!Q5&lt;&gt;0,'Base de Données'!Q10/'Base de Données'!Q5-1,0)</f>
        <v>-0.32281205164992821</v>
      </c>
    </row>
    <row r="8" spans="2:6" ht="15.95" customHeight="1" x14ac:dyDescent="0.25">
      <c r="B8" s="79" t="s">
        <v>42</v>
      </c>
      <c r="C8" s="87" t="s">
        <v>43</v>
      </c>
      <c r="D8" s="74" t="s">
        <v>44</v>
      </c>
      <c r="E8" s="74" t="s">
        <v>45</v>
      </c>
    </row>
    <row r="9" spans="2:6" ht="14.1" customHeight="1" x14ac:dyDescent="0.25">
      <c r="B9" s="89" t="s">
        <v>46</v>
      </c>
      <c r="C9" s="78"/>
      <c r="D9" s="80" t="s">
        <v>47</v>
      </c>
      <c r="E9" s="80" t="s">
        <v>48</v>
      </c>
    </row>
    <row r="11" spans="2:6" ht="21.95" customHeight="1" x14ac:dyDescent="0.25">
      <c r="B11" s="77" t="s">
        <v>49</v>
      </c>
      <c r="C11" s="56"/>
      <c r="D11" s="56"/>
      <c r="E11" s="56"/>
      <c r="F11" s="56"/>
    </row>
    <row r="12" spans="2:6" ht="20.100000000000001" customHeight="1" x14ac:dyDescent="0.25">
      <c r="B12" s="30" t="s">
        <v>2</v>
      </c>
      <c r="C12" s="30" t="s">
        <v>50</v>
      </c>
      <c r="D12" s="30" t="s">
        <v>51</v>
      </c>
      <c r="E12" s="30" t="s">
        <v>17</v>
      </c>
      <c r="F12" s="30" t="s">
        <v>52</v>
      </c>
    </row>
    <row r="13" spans="2:6" ht="24" customHeight="1" x14ac:dyDescent="0.25">
      <c r="B13" s="31" t="s">
        <v>20</v>
      </c>
      <c r="C13" s="4">
        <f>'Base de Données'!Q5</f>
        <v>3485000</v>
      </c>
      <c r="D13" s="32">
        <f>'Base de Données'!Q6</f>
        <v>3506000</v>
      </c>
      <c r="E13" s="33">
        <f>D13-C13</f>
        <v>21000</v>
      </c>
      <c r="F13" s="34">
        <f>IF(C13&lt;&gt;0,D13/C13-1,0)</f>
        <v>6.0258249641320649E-3</v>
      </c>
    </row>
    <row r="14" spans="2:6" ht="24" customHeight="1" x14ac:dyDescent="0.25">
      <c r="B14" s="11" t="s">
        <v>26</v>
      </c>
      <c r="C14" s="35">
        <f>'Base de Données'!Q20</f>
        <v>1865000</v>
      </c>
      <c r="D14" s="7">
        <f>'Base de Données'!Q21</f>
        <v>1857000</v>
      </c>
      <c r="E14" s="36">
        <f>D14-C14</f>
        <v>-8000</v>
      </c>
      <c r="F14" s="37">
        <f>IF(C14&lt;&gt;0,D14/C14-1,0)</f>
        <v>-4.2895442359249802E-3</v>
      </c>
    </row>
    <row r="15" spans="2:6" ht="24" customHeight="1" x14ac:dyDescent="0.25">
      <c r="B15" s="38" t="s">
        <v>27</v>
      </c>
      <c r="C15" s="18">
        <f>'Base de Données'!Q35</f>
        <v>0</v>
      </c>
      <c r="D15" s="39">
        <f>'Base de Données'!Q36</f>
        <v>0</v>
      </c>
      <c r="E15" s="40">
        <f>D15-C15</f>
        <v>0</v>
      </c>
      <c r="F15" s="37">
        <f>IF(C15&lt;&gt;0,D15/C15-1,0)</f>
        <v>0</v>
      </c>
    </row>
    <row r="16" spans="2:6" ht="24" customHeight="1" x14ac:dyDescent="0.25">
      <c r="B16" s="11" t="s">
        <v>28</v>
      </c>
      <c r="C16" s="35">
        <f>'Base de Données'!Q50</f>
        <v>0</v>
      </c>
      <c r="D16" s="7">
        <f>'Base de Données'!Q51</f>
        <v>0</v>
      </c>
      <c r="E16" s="41">
        <f>D16-C16</f>
        <v>0</v>
      </c>
      <c r="F16" s="42">
        <f>IF(C16&lt;&gt;0,D16/C16-1,0)</f>
        <v>0</v>
      </c>
    </row>
    <row r="17" spans="2:6" ht="24" customHeight="1" x14ac:dyDescent="0.25">
      <c r="B17" s="25" t="s">
        <v>30</v>
      </c>
      <c r="C17" s="26">
        <f>'Base de Données'!Q5</f>
        <v>3485000</v>
      </c>
      <c r="D17" s="26">
        <f>'Base de Données'!Q10</f>
        <v>2360000</v>
      </c>
      <c r="E17" s="28">
        <f>D17-C17</f>
        <v>-1125000</v>
      </c>
      <c r="F17" s="43">
        <f>IF(C17&lt;&gt;0,D17/C17-1,0)</f>
        <v>-0.32281205164992821</v>
      </c>
    </row>
    <row r="19" spans="2:6" ht="21.95" customHeight="1" x14ac:dyDescent="0.25">
      <c r="B19" s="77" t="s">
        <v>53</v>
      </c>
      <c r="C19" s="56"/>
      <c r="D19" s="56"/>
      <c r="E19" s="56"/>
      <c r="F19" s="56"/>
    </row>
    <row r="20" spans="2:6" ht="26.1" customHeight="1" x14ac:dyDescent="0.25">
      <c r="B20" s="44" t="s">
        <v>54</v>
      </c>
      <c r="C20" s="75" t="s">
        <v>55</v>
      </c>
      <c r="D20" s="56"/>
      <c r="E20" s="56"/>
      <c r="F20" s="56"/>
    </row>
    <row r="21" spans="2:6" ht="26.1" customHeight="1" x14ac:dyDescent="0.25">
      <c r="B21" s="44" t="s">
        <v>56</v>
      </c>
      <c r="C21" s="88" t="s">
        <v>57</v>
      </c>
      <c r="D21" s="56"/>
      <c r="E21" s="56"/>
      <c r="F21" s="56"/>
    </row>
    <row r="22" spans="2:6" ht="26.1" customHeight="1" x14ac:dyDescent="0.25">
      <c r="B22" s="45" t="s">
        <v>58</v>
      </c>
      <c r="C22" s="75" t="s">
        <v>59</v>
      </c>
      <c r="D22" s="56"/>
      <c r="E22" s="56"/>
      <c r="F22" s="56"/>
    </row>
    <row r="23" spans="2:6" ht="26.1" customHeight="1" x14ac:dyDescent="0.25">
      <c r="B23" s="46" t="s">
        <v>60</v>
      </c>
      <c r="C23" s="88" t="s">
        <v>61</v>
      </c>
      <c r="D23" s="56"/>
      <c r="E23" s="56"/>
      <c r="F23" s="56"/>
    </row>
    <row r="25" spans="2:6" ht="20.100000000000001" customHeight="1" x14ac:dyDescent="0.25">
      <c r="B25" s="90" t="s">
        <v>62</v>
      </c>
      <c r="C25" s="56"/>
      <c r="D25" s="56"/>
      <c r="E25" s="56"/>
      <c r="F25" s="56"/>
    </row>
  </sheetData>
  <mergeCells count="26">
    <mergeCell ref="B25:F25"/>
    <mergeCell ref="B11:F11"/>
    <mergeCell ref="C22:F22"/>
    <mergeCell ref="C21:F21"/>
    <mergeCell ref="B7"/>
    <mergeCell ref="C6"/>
    <mergeCell ref="C8"/>
    <mergeCell ref="C23:F23"/>
    <mergeCell ref="B9"/>
    <mergeCell ref="D9"/>
    <mergeCell ref="B1:F1"/>
    <mergeCell ref="E8"/>
    <mergeCell ref="C20:F20"/>
    <mergeCell ref="D6"/>
    <mergeCell ref="B19:F19"/>
    <mergeCell ref="C9"/>
    <mergeCell ref="B8"/>
    <mergeCell ref="E9"/>
    <mergeCell ref="D7"/>
    <mergeCell ref="B5:F5"/>
    <mergeCell ref="E6"/>
    <mergeCell ref="C7"/>
    <mergeCell ref="D8"/>
    <mergeCell ref="B6"/>
    <mergeCell ref="E7"/>
    <mergeCell ref="B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85"/>
  <sheetViews>
    <sheetView showGridLines="0" zoomScale="40" zoomScaleNormal="40" workbookViewId="0">
      <selection activeCell="AZ48" sqref="AZ48"/>
    </sheetView>
  </sheetViews>
  <sheetFormatPr baseColWidth="10" defaultColWidth="9.140625" defaultRowHeight="15" x14ac:dyDescent="0.25"/>
  <cols>
    <col min="1" max="3" width="2" customWidth="1"/>
  </cols>
  <sheetData>
    <row r="1" spans="1:26" ht="32.1" customHeight="1" x14ac:dyDescent="0.25">
      <c r="A1" s="59" t="s">
        <v>63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8" customHeight="1" x14ac:dyDescent="0.35">
      <c r="A2" s="93" t="s">
        <v>64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</row>
    <row r="3" spans="1:26" ht="3.95" customHeight="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50" ht="20.100000000000001" customHeight="1" x14ac:dyDescent="0.25"/>
    <row r="65" spans="1:26" s="97" customFormat="1" ht="45" customHeight="1" x14ac:dyDescent="0.2">
      <c r="A65" s="94" t="s">
        <v>65</v>
      </c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6"/>
      <c r="M65" s="94" t="s">
        <v>66</v>
      </c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</row>
    <row r="66" spans="1:26" s="97" customFormat="1" ht="45" customHeight="1" x14ac:dyDescent="0.2">
      <c r="A66" s="94" t="s">
        <v>67</v>
      </c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6"/>
      <c r="M66" s="94" t="s">
        <v>68</v>
      </c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</row>
    <row r="70" spans="1:26" s="54" customFormat="1" ht="21" x14ac:dyDescent="0.35">
      <c r="A70" s="91" t="s">
        <v>69</v>
      </c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</row>
    <row r="72" spans="1:26" ht="15.75" thickBot="1" x14ac:dyDescent="0.3"/>
    <row r="73" spans="1:26" x14ac:dyDescent="0.25">
      <c r="A73" s="47" t="s">
        <v>2</v>
      </c>
      <c r="B73" s="48" t="s">
        <v>70</v>
      </c>
      <c r="C73" s="48" t="s">
        <v>71</v>
      </c>
      <c r="D73" s="48"/>
      <c r="E73" s="53" t="s">
        <v>72</v>
      </c>
      <c r="F73" s="53" t="s">
        <v>73</v>
      </c>
      <c r="G73" s="53" t="s">
        <v>74</v>
      </c>
      <c r="H73" s="53" t="s">
        <v>75</v>
      </c>
      <c r="I73" s="53" t="s">
        <v>76</v>
      </c>
      <c r="J73" s="53" t="s">
        <v>77</v>
      </c>
      <c r="L73" s="53" t="s">
        <v>2</v>
      </c>
      <c r="M73" s="53" t="s">
        <v>78</v>
      </c>
      <c r="N73" s="53"/>
      <c r="O73" s="53" t="s">
        <v>79</v>
      </c>
      <c r="P73" s="53" t="s">
        <v>20</v>
      </c>
      <c r="Q73" s="53" t="s">
        <v>26</v>
      </c>
      <c r="R73" s="53" t="s">
        <v>27</v>
      </c>
      <c r="S73" s="53" t="s">
        <v>28</v>
      </c>
    </row>
    <row r="74" spans="1:26" x14ac:dyDescent="0.25">
      <c r="A74" s="49" t="s">
        <v>20</v>
      </c>
      <c r="B74" s="50">
        <v>3485000</v>
      </c>
      <c r="C74" s="50">
        <v>3506000</v>
      </c>
      <c r="D74" s="50"/>
      <c r="E74" s="53" t="s">
        <v>4</v>
      </c>
      <c r="F74" s="53">
        <v>1135000</v>
      </c>
      <c r="G74" s="53">
        <v>281000</v>
      </c>
      <c r="H74" s="53">
        <v>172000</v>
      </c>
      <c r="I74" s="53">
        <v>518000</v>
      </c>
      <c r="J74" s="53">
        <v>148000</v>
      </c>
      <c r="L74" s="53" t="s">
        <v>20</v>
      </c>
      <c r="M74" s="53">
        <v>3485000</v>
      </c>
      <c r="N74" s="53"/>
      <c r="O74" s="53" t="s">
        <v>80</v>
      </c>
      <c r="P74" s="53">
        <v>6000</v>
      </c>
      <c r="Q74" s="53">
        <v>15000</v>
      </c>
      <c r="R74" s="53">
        <v>27000</v>
      </c>
      <c r="S74" s="53">
        <v>-2000</v>
      </c>
    </row>
    <row r="75" spans="1:26" x14ac:dyDescent="0.25">
      <c r="A75" s="49" t="s">
        <v>26</v>
      </c>
      <c r="B75" s="50">
        <v>2360000</v>
      </c>
      <c r="C75" s="50">
        <v>2500000</v>
      </c>
      <c r="D75" s="50"/>
      <c r="E75" s="53" t="s">
        <v>5</v>
      </c>
      <c r="F75" s="53">
        <v>1135000</v>
      </c>
      <c r="G75" s="53">
        <v>292000</v>
      </c>
      <c r="H75" s="53">
        <v>188000</v>
      </c>
      <c r="I75" s="53">
        <v>531000</v>
      </c>
      <c r="J75" s="53">
        <v>152000</v>
      </c>
      <c r="L75" s="53" t="s">
        <v>26</v>
      </c>
      <c r="M75" s="53">
        <v>2360000</v>
      </c>
      <c r="N75" s="53"/>
      <c r="O75" s="53" t="s">
        <v>81</v>
      </c>
      <c r="P75" s="53">
        <v>7000</v>
      </c>
      <c r="Q75" s="53">
        <v>41000</v>
      </c>
      <c r="R75" s="53">
        <v>39000</v>
      </c>
      <c r="S75" s="53">
        <v>2000</v>
      </c>
    </row>
    <row r="76" spans="1:26" x14ac:dyDescent="0.25">
      <c r="A76" s="49" t="s">
        <v>27</v>
      </c>
      <c r="B76" s="50">
        <v>6355000</v>
      </c>
      <c r="C76" s="50">
        <v>6554000</v>
      </c>
      <c r="D76" s="50"/>
      <c r="E76" s="53" t="s">
        <v>6</v>
      </c>
      <c r="F76" s="53">
        <v>1195000</v>
      </c>
      <c r="G76" s="53">
        <v>298000</v>
      </c>
      <c r="H76" s="53">
        <v>215000</v>
      </c>
      <c r="I76" s="53">
        <v>558000</v>
      </c>
      <c r="J76" s="53">
        <v>158000</v>
      </c>
      <c r="L76" s="53" t="s">
        <v>27</v>
      </c>
      <c r="M76" s="53">
        <v>6355000</v>
      </c>
      <c r="N76" s="53"/>
      <c r="O76" s="53" t="s">
        <v>82</v>
      </c>
      <c r="P76" s="53">
        <v>-1000</v>
      </c>
      <c r="Q76" s="53">
        <v>9000</v>
      </c>
      <c r="R76" s="53">
        <v>76000</v>
      </c>
      <c r="S76" s="53">
        <v>-11000</v>
      </c>
    </row>
    <row r="77" spans="1:26" x14ac:dyDescent="0.25">
      <c r="A77" s="49" t="s">
        <v>28</v>
      </c>
      <c r="B77" s="50">
        <v>1865000</v>
      </c>
      <c r="C77" s="50">
        <v>1857000</v>
      </c>
      <c r="D77" s="50"/>
      <c r="E77" s="53" t="s">
        <v>7</v>
      </c>
      <c r="F77" s="53">
        <v>1165000</v>
      </c>
      <c r="G77" s="53">
        <v>288000</v>
      </c>
      <c r="H77" s="53">
        <v>238000</v>
      </c>
      <c r="I77" s="53">
        <v>512000</v>
      </c>
      <c r="J77" s="53">
        <v>147000</v>
      </c>
      <c r="L77" s="53" t="s">
        <v>28</v>
      </c>
      <c r="M77" s="53">
        <v>1865000</v>
      </c>
      <c r="N77" s="53"/>
      <c r="O77" s="53" t="s">
        <v>83</v>
      </c>
      <c r="P77" s="53">
        <v>9000</v>
      </c>
      <c r="Q77" s="53">
        <v>75000</v>
      </c>
      <c r="R77" s="53">
        <v>57000</v>
      </c>
      <c r="S77" s="53">
        <v>3000</v>
      </c>
    </row>
    <row r="78" spans="1:26" x14ac:dyDescent="0.25">
      <c r="A78" s="49"/>
      <c r="B78" s="50"/>
      <c r="C78" s="50"/>
      <c r="D78" s="50"/>
      <c r="E78" s="53" t="s">
        <v>8</v>
      </c>
      <c r="F78" s="53">
        <v>1165000</v>
      </c>
      <c r="G78" s="53">
        <v>283000</v>
      </c>
      <c r="H78" s="53">
        <v>245000</v>
      </c>
      <c r="I78" s="53">
        <v>525000</v>
      </c>
      <c r="J78" s="53">
        <v>153000</v>
      </c>
    </row>
    <row r="79" spans="1:26" x14ac:dyDescent="0.25">
      <c r="A79" s="49"/>
      <c r="B79" s="50"/>
      <c r="C79" s="50"/>
      <c r="D79" s="50"/>
      <c r="E79" s="53" t="s">
        <v>9</v>
      </c>
      <c r="F79" s="53">
        <v>1205000</v>
      </c>
      <c r="G79" s="53">
        <v>301000</v>
      </c>
      <c r="H79" s="53">
        <v>198000</v>
      </c>
      <c r="I79" s="53">
        <v>572000</v>
      </c>
      <c r="J79" s="53">
        <v>162000</v>
      </c>
    </row>
    <row r="80" spans="1:26" x14ac:dyDescent="0.25">
      <c r="A80" s="49"/>
      <c r="B80" s="50"/>
      <c r="C80" s="50"/>
      <c r="D80" s="50"/>
      <c r="E80" s="53" t="s">
        <v>10</v>
      </c>
      <c r="F80" s="53">
        <v>1125000</v>
      </c>
      <c r="G80" s="53">
        <v>290000</v>
      </c>
      <c r="H80" s="53">
        <v>155000</v>
      </c>
      <c r="I80" s="53">
        <v>548000</v>
      </c>
      <c r="J80" s="53">
        <v>145000</v>
      </c>
    </row>
    <row r="81" spans="1:10" x14ac:dyDescent="0.25">
      <c r="A81" s="49"/>
      <c r="B81" s="50"/>
      <c r="C81" s="50"/>
      <c r="D81" s="50"/>
      <c r="E81" s="53" t="s">
        <v>11</v>
      </c>
      <c r="F81" s="53">
        <v>1125000</v>
      </c>
      <c r="G81" s="53">
        <v>279000</v>
      </c>
      <c r="H81" s="53">
        <v>162000</v>
      </c>
      <c r="I81" s="53">
        <v>562000</v>
      </c>
      <c r="J81" s="53">
        <v>149000</v>
      </c>
    </row>
    <row r="82" spans="1:10" x14ac:dyDescent="0.25">
      <c r="A82" s="49"/>
      <c r="B82" s="50"/>
      <c r="C82" s="50"/>
      <c r="D82" s="50"/>
      <c r="E82" s="53" t="s">
        <v>12</v>
      </c>
      <c r="F82" s="53">
        <v>1180000</v>
      </c>
      <c r="G82" s="53">
        <v>295000</v>
      </c>
      <c r="H82" s="53">
        <v>192000</v>
      </c>
      <c r="I82" s="53">
        <v>571000</v>
      </c>
      <c r="J82" s="53">
        <v>155000</v>
      </c>
    </row>
    <row r="83" spans="1:10" x14ac:dyDescent="0.25">
      <c r="A83" s="49"/>
      <c r="B83" s="50"/>
      <c r="C83" s="50"/>
      <c r="D83" s="50"/>
      <c r="E83" s="53" t="s">
        <v>13</v>
      </c>
      <c r="F83" s="53">
        <v>1165000</v>
      </c>
      <c r="G83" s="53">
        <v>296000</v>
      </c>
      <c r="H83" s="53">
        <v>222000</v>
      </c>
      <c r="I83" s="53">
        <v>535000</v>
      </c>
      <c r="J83" s="53">
        <v>159000</v>
      </c>
    </row>
    <row r="84" spans="1:10" x14ac:dyDescent="0.25">
      <c r="A84" s="49"/>
      <c r="B84" s="50"/>
      <c r="C84" s="50"/>
      <c r="D84" s="50"/>
      <c r="E84" s="53" t="s">
        <v>14</v>
      </c>
      <c r="F84" s="53">
        <v>1175000</v>
      </c>
      <c r="G84" s="53">
        <v>288000</v>
      </c>
      <c r="H84" s="53">
        <v>228000</v>
      </c>
      <c r="I84" s="53">
        <v>542000</v>
      </c>
      <c r="J84" s="53">
        <v>157000</v>
      </c>
    </row>
    <row r="85" spans="1:10" ht="15.75" thickBot="1" x14ac:dyDescent="0.3">
      <c r="A85" s="51"/>
      <c r="B85" s="52"/>
      <c r="C85" s="52"/>
      <c r="D85" s="52"/>
      <c r="E85" s="53" t="s">
        <v>15</v>
      </c>
      <c r="F85" s="53">
        <v>1295000</v>
      </c>
      <c r="G85" s="53">
        <v>315000</v>
      </c>
      <c r="H85" s="53">
        <v>285000</v>
      </c>
      <c r="I85" s="53">
        <v>580000</v>
      </c>
      <c r="J85" s="53">
        <v>172000</v>
      </c>
    </row>
  </sheetData>
  <mergeCells count="7">
    <mergeCell ref="M66:Z66"/>
    <mergeCell ref="A66:K66"/>
    <mergeCell ref="A1:Z1"/>
    <mergeCell ref="A70:Z70"/>
    <mergeCell ref="M65:Z65"/>
    <mergeCell ref="A65:K65"/>
    <mergeCell ref="A2:Z2"/>
  </mergeCells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Base de Données</vt:lpstr>
      <vt:lpstr>KPI</vt:lpstr>
      <vt:lpstr>Graphiques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2026-03-28T22:01:29Z</dcterms:created>
  <dcterms:modified xsi:type="dcterms:W3CDTF">2026-03-30T21:04:03Z</dcterms:modified>
</cp:coreProperties>
</file>