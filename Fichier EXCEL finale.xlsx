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onnées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MAD&quot;"/>
    <numFmt numFmtId="165" formatCode="+#,##0 &quot;MAD&quot;;-#,##0 &quot;MAD&quot;;&quot;-&quot;"/>
    <numFmt numFmtId="166" formatCode="+0.00%;-0.00%;&quot;-&quot;"/>
    <numFmt numFmtId="167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C49A3C"/>
      <sz val="9"/>
    </font>
    <font>
      <name val="Arial"/>
      <b val="1"/>
      <color rgb="00FFFFFF"/>
      <sz val="9"/>
    </font>
    <font>
      <name val="Arial"/>
      <b val="1"/>
      <color rgb="001E2230"/>
      <sz val="9"/>
    </font>
    <font>
      <name val="Arial"/>
      <color rgb="001E2230"/>
      <sz val="9"/>
    </font>
    <font>
      <name val="Arial"/>
      <color rgb="0000008B"/>
      <sz val="9"/>
    </font>
    <font>
      <name val="Arial"/>
      <b val="1"/>
      <color rgb="0000008B"/>
      <sz val="9"/>
    </font>
    <font>
      <name val="Arial"/>
      <b val="1"/>
      <color rgb="00B83232"/>
      <sz val="10"/>
    </font>
    <font>
      <name val="Arial"/>
      <b val="1"/>
      <color rgb="00B83232"/>
      <sz val="9"/>
    </font>
    <font>
      <name val="Arial"/>
      <b val="1"/>
      <color rgb="001F7A52"/>
      <sz val="10"/>
    </font>
    <font>
      <name val="Arial"/>
      <b val="1"/>
      <color rgb="001F7A52"/>
      <sz val="9"/>
    </font>
    <font>
      <name val="Arial"/>
      <b val="1"/>
      <color rgb="00FFFFFF"/>
      <sz val="10"/>
    </font>
    <font>
      <name val="Arial"/>
      <b val="1"/>
      <color rgb="00C49A3C"/>
      <sz val="9"/>
    </font>
    <font>
      <name val="Arial"/>
      <b val="1"/>
      <color rgb="00888888"/>
      <sz val="8"/>
    </font>
    <font>
      <name val="Arial"/>
      <b val="1"/>
      <color rgb="002E5F9F"/>
      <sz val="18"/>
    </font>
    <font>
      <name val="Arial"/>
      <color rgb="00666666"/>
      <sz val="8"/>
    </font>
    <font>
      <name val="Arial"/>
      <i val="1"/>
      <color rgb="00999999"/>
      <sz val="8"/>
    </font>
    <font>
      <name val="Arial"/>
      <b val="1"/>
      <color rgb="001E2230"/>
      <sz val="18"/>
    </font>
    <font>
      <name val="Arial"/>
      <b val="1"/>
      <color rgb="00B83232"/>
      <sz val="18"/>
    </font>
    <font>
      <name val="Arial"/>
      <b val="1"/>
      <color rgb="00B86320"/>
      <sz val="9"/>
    </font>
    <font>
      <name val="Arial"/>
      <i val="1"/>
      <color rgb="00444444"/>
      <sz val="8"/>
    </font>
    <font>
      <name val="Arial"/>
      <i val="1"/>
      <color rgb="00AAAAAA"/>
      <sz val="8"/>
    </font>
    <font>
      <name val="Arial"/>
      <i val="1"/>
      <color rgb="00555555"/>
      <sz val="8"/>
    </font>
  </fonts>
  <fills count="14">
    <fill>
      <patternFill/>
    </fill>
    <fill>
      <patternFill patternType="gray125"/>
    </fill>
    <fill>
      <patternFill patternType="solid">
        <fgColor rgb="001E2230"/>
      </patternFill>
    </fill>
    <fill>
      <patternFill patternType="solid">
        <fgColor rgb="00C49A3C"/>
      </patternFill>
    </fill>
    <fill>
      <patternFill patternType="solid">
        <fgColor rgb="002E5F9F"/>
      </patternFill>
    </fill>
    <fill>
      <patternFill patternType="solid">
        <fgColor rgb="00D6E4F7"/>
      </patternFill>
    </fill>
    <fill>
      <patternFill patternType="solid">
        <fgColor rgb="00FBF0E5"/>
      </patternFill>
    </fill>
    <fill>
      <patternFill patternType="solid">
        <fgColor rgb="00FFFFFF"/>
      </patternFill>
    </fill>
    <fill>
      <patternFill patternType="solid">
        <fgColor rgb="00F5F5F4"/>
      </patternFill>
    </fill>
    <fill>
      <patternFill patternType="solid">
        <fgColor rgb="00EAEAE8"/>
      </patternFill>
    </fill>
    <fill>
      <patternFill patternType="solid">
        <fgColor rgb="00FEF3E6"/>
      </patternFill>
    </fill>
    <fill>
      <patternFill patternType="solid">
        <fgColor rgb="00FDEAEA"/>
      </patternFill>
    </fill>
    <fill>
      <patternFill patternType="solid">
        <fgColor rgb="00FAEDEC"/>
      </patternFill>
    </fill>
    <fill>
      <patternFill patternType="solid">
        <fgColor rgb="00E6F4EE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  <border>
      <left style="thin">
        <color rgb="00EAEAE8"/>
      </left>
      <right style="thin">
        <color rgb="00EAEAE8"/>
      </right>
      <top style="thin">
        <color rgb="00EAEAE8"/>
      </top>
      <bottom style="thin">
        <color rgb="00EAEAE8"/>
      </bottom>
    </border>
    <border>
      <bottom style="medium">
        <color rgb="00C49A3C"/>
      </bottom>
    </border>
    <border>
      <left style="thin">
        <color rgb="00D0CCC4"/>
      </left>
      <right style="thin">
        <color rgb="00D0CCC4"/>
      </right>
      <top style="medium">
        <color rgb="002E5F9F"/>
      </top>
    </border>
    <border>
      <left style="thin">
        <color rgb="00D0CCC4"/>
      </left>
      <right style="thin">
        <color rgb="00D0CCC4"/>
      </right>
    </border>
    <border>
      <left style="thin">
        <color rgb="00D0CCC4"/>
      </left>
      <right style="thin">
        <color rgb="00D0CCC4"/>
      </right>
      <bottom style="thin">
        <color rgb="00D0CCC4"/>
      </bottom>
    </border>
    <border>
      <left style="thin">
        <color rgb="00D0CCC4"/>
      </left>
      <right style="thin">
        <color rgb="00D0CCC4"/>
      </right>
      <top style="medium">
        <color rgb="001E2230"/>
      </top>
    </border>
    <border>
      <left style="thin">
        <color rgb="00D0CCC4"/>
      </left>
      <right style="thin">
        <color rgb="00D0CCC4"/>
      </right>
      <top style="medium">
        <color rgb="00B83232"/>
      </top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C49A3C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indent="1"/>
    </xf>
    <xf numFmtId="164" fontId="6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center" vertical="center"/>
    </xf>
    <xf numFmtId="166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indent="1"/>
    </xf>
    <xf numFmtId="164" fontId="5" fillId="7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 indent="1"/>
    </xf>
    <xf numFmtId="165" fontId="9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 indent="1"/>
    </xf>
    <xf numFmtId="167" fontId="9" fillId="7" borderId="2" applyAlignment="1" pivotButton="0" quotePrefix="0" xfId="0">
      <alignment horizontal="right" vertical="center"/>
    </xf>
    <xf numFmtId="0" fontId="0" fillId="9" borderId="3" pivotButton="0" quotePrefix="0" xfId="0"/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indent="1"/>
    </xf>
    <xf numFmtId="164" fontId="6" fillId="10" borderId="2" applyAlignment="1" pivotButton="0" quotePrefix="0" xfId="0">
      <alignment horizontal="right" vertical="center"/>
    </xf>
    <xf numFmtId="164" fontId="7" fillId="10" borderId="2" applyAlignment="1" pivotButton="0" quotePrefix="0" xfId="0">
      <alignment horizontal="right" vertical="center"/>
    </xf>
    <xf numFmtId="165" fontId="8" fillId="10" borderId="2" applyAlignment="1" pivotButton="0" quotePrefix="0" xfId="0">
      <alignment horizontal="center" vertical="center"/>
    </xf>
    <xf numFmtId="166" fontId="8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indent="1"/>
    </xf>
    <xf numFmtId="164" fontId="6" fillId="12" borderId="2" applyAlignment="1" pivotButton="0" quotePrefix="0" xfId="0">
      <alignment horizontal="right" vertical="center"/>
    </xf>
    <xf numFmtId="164" fontId="7" fillId="12" borderId="2" applyAlignment="1" pivotButton="0" quotePrefix="0" xfId="0">
      <alignment horizontal="right" vertical="center"/>
    </xf>
    <xf numFmtId="165" fontId="8" fillId="12" borderId="2" applyAlignment="1" pivotButton="0" quotePrefix="0" xfId="0">
      <alignment horizontal="center" vertical="center"/>
    </xf>
    <xf numFmtId="166" fontId="8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indent="1"/>
    </xf>
    <xf numFmtId="164" fontId="6" fillId="13" borderId="2" applyAlignment="1" pivotButton="0" quotePrefix="0" xfId="0">
      <alignment horizontal="right" vertical="center"/>
    </xf>
    <xf numFmtId="164" fontId="7" fillId="13" borderId="2" applyAlignment="1" pivotButton="0" quotePrefix="0" xfId="0">
      <alignment horizontal="right" vertical="center"/>
    </xf>
    <xf numFmtId="165" fontId="10" fillId="13" borderId="2" applyAlignment="1" pivotButton="0" quotePrefix="0" xfId="0">
      <alignment horizontal="center" vertical="center"/>
    </xf>
    <xf numFmtId="166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165" fontId="11" fillId="8" borderId="2" applyAlignment="1" pivotButton="0" quotePrefix="0" xfId="0">
      <alignment horizontal="right" vertical="center"/>
    </xf>
    <xf numFmtId="167" fontId="11" fillId="7" borderId="2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164" fontId="13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13" fillId="2" borderId="1" applyAlignment="1" pivotButton="0" quotePrefix="0" xfId="0">
      <alignment horizontal="right" vertical="center"/>
    </xf>
    <xf numFmtId="167" fontId="13" fillId="2" borderId="1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 indent="1"/>
    </xf>
    <xf numFmtId="0" fontId="14" fillId="5" borderId="5" applyAlignment="1" pivotButton="0" quotePrefix="0" xfId="0">
      <alignment horizontal="left" vertical="center" indent="1"/>
    </xf>
    <xf numFmtId="0" fontId="14" fillId="8" borderId="8" applyAlignment="1" pivotButton="0" quotePrefix="0" xfId="0">
      <alignment horizontal="left" vertical="center" indent="1"/>
    </xf>
    <xf numFmtId="0" fontId="14" fillId="11" borderId="9" applyAlignment="1" pivotButton="0" quotePrefix="0" xfId="0">
      <alignment horizontal="left" vertical="center" indent="1"/>
    </xf>
    <xf numFmtId="164" fontId="15" fillId="5" borderId="6" applyAlignment="1" pivotButton="0" quotePrefix="0" xfId="0">
      <alignment horizontal="left" vertical="center" indent="1"/>
    </xf>
    <xf numFmtId="164" fontId="18" fillId="8" borderId="6" applyAlignment="1" pivotButton="0" quotePrefix="0" xfId="0">
      <alignment horizontal="left" vertical="center" indent="1"/>
    </xf>
    <xf numFmtId="165" fontId="19" fillId="11" borderId="6" applyAlignment="1" pivotButton="0" quotePrefix="0" xfId="0">
      <alignment horizontal="left" vertical="center" indent="1"/>
    </xf>
    <xf numFmtId="166" fontId="19" fillId="11" borderId="6" applyAlignment="1" pivotButton="0" quotePrefix="0" xfId="0">
      <alignment horizontal="left" vertical="center" indent="1"/>
    </xf>
    <xf numFmtId="0" fontId="16" fillId="5" borderId="6" applyAlignment="1" pivotButton="0" quotePrefix="0" xfId="0">
      <alignment horizontal="left" vertical="center" indent="1"/>
    </xf>
    <xf numFmtId="0" fontId="16" fillId="8" borderId="6" applyAlignment="1" pivotButton="0" quotePrefix="0" xfId="0">
      <alignment horizontal="left" vertical="center" indent="1"/>
    </xf>
    <xf numFmtId="0" fontId="16" fillId="11" borderId="6" applyAlignment="1" pivotButton="0" quotePrefix="0" xfId="0">
      <alignment horizontal="left" vertical="center" indent="1"/>
    </xf>
    <xf numFmtId="0" fontId="17" fillId="5" borderId="7" applyAlignment="1" pivotButton="0" quotePrefix="0" xfId="0">
      <alignment horizontal="left" vertical="center" indent="1"/>
    </xf>
    <xf numFmtId="0" fontId="17" fillId="8" borderId="7" applyAlignment="1" pivotButton="0" quotePrefix="0" xfId="0">
      <alignment horizontal="left" vertical="center" indent="1"/>
    </xf>
    <xf numFmtId="0" fontId="17" fillId="11" borderId="7" applyAlignment="1" pivotButton="0" quotePrefix="0" xfId="0">
      <alignment horizontal="left" vertical="center" indent="1"/>
    </xf>
    <xf numFmtId="0" fontId="3" fillId="2" borderId="10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indent="1"/>
    </xf>
    <xf numFmtId="164" fontId="5" fillId="5" borderId="2" applyAlignment="1" pivotButton="0" quotePrefix="0" xfId="0">
      <alignment horizontal="right" vertical="center"/>
    </xf>
    <xf numFmtId="165" fontId="9" fillId="5" borderId="2" applyAlignment="1" pivotButton="0" quotePrefix="0" xfId="0">
      <alignment horizontal="right" vertical="center"/>
    </xf>
    <xf numFmtId="166" fontId="20" fillId="6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166" fontId="9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indent="1"/>
    </xf>
    <xf numFmtId="164" fontId="5" fillId="12" borderId="2" applyAlignment="1" pivotButton="0" quotePrefix="0" xfId="0">
      <alignment horizontal="right" vertical="center"/>
    </xf>
    <xf numFmtId="165" fontId="9" fillId="12" borderId="2" applyAlignment="1" pivotButton="0" quotePrefix="0" xfId="0">
      <alignment horizontal="right" vertical="center"/>
    </xf>
    <xf numFmtId="165" fontId="11" fillId="7" borderId="2" applyAlignment="1" pivotButton="0" quotePrefix="0" xfId="0">
      <alignment horizontal="right" vertical="center"/>
    </xf>
    <xf numFmtId="166" fontId="11" fillId="13" borderId="2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center" indent="1"/>
    </xf>
    <xf numFmtId="0" fontId="21" fillId="7" borderId="2" applyAlignment="1" pivotButton="0" quotePrefix="0" xfId="0">
      <alignment horizontal="left" vertical="center" wrapText="1" indent="1"/>
    </xf>
    <xf numFmtId="0" fontId="21" fillId="8" borderId="2" applyAlignment="1" pivotButton="0" quotePrefix="0" xfId="0">
      <alignment horizontal="left" vertical="center" wrapText="1" indent="1"/>
    </xf>
    <xf numFmtId="0" fontId="20" fillId="6" borderId="2" applyAlignment="1" pivotButton="0" quotePrefix="0" xfId="0">
      <alignment horizontal="left" vertical="center" indent="1"/>
    </xf>
    <xf numFmtId="0" fontId="11" fillId="13" borderId="2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Réalisé par Département — Exercice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'Graphiques'!B55</f>
            </strRef>
          </tx>
          <spPr>
            <a:solidFill xmlns:a="http://schemas.openxmlformats.org/drawingml/2006/main">
              <a:srgbClr val="4A7CC7"/>
            </a:solidFill>
            <a:ln xmlns:a="http://schemas.openxmlformats.org/drawingml/2006/main">
              <a:solidFill>
                <a:srgbClr val="3A6BAA"/>
              </a:solidFill>
              <a:prstDash val="solid"/>
            </a:ln>
          </spPr>
          <cat>
            <numRef>
              <f>'Graphiques'!$A$56:$A$59</f>
            </numRef>
          </cat>
          <val>
            <numRef>
              <f>'Graphiques'!$B$56:$B$59</f>
            </numRef>
          </val>
        </ser>
        <ser>
          <idx val="1"/>
          <order val="1"/>
          <tx>
            <strRef>
              <f>'Graphiques'!C55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A02818"/>
              </a:solidFill>
              <a:prstDash val="solid"/>
            </a:ln>
          </spPr>
          <cat>
            <numRef>
              <f>'Graphiques'!$A$56:$A$59</f>
            </numRef>
          </cat>
          <val>
            <numRef>
              <f>'Graphiques'!$C$56:$C$59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Département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Mensuelle du Réalisé par Département</a:t>
            </a:r>
          </a:p>
        </rich>
      </tx>
    </title>
    <plotArea>
      <lineChart>
        <grouping val="standard"/>
        <ser>
          <idx val="0"/>
          <order val="0"/>
          <tx>
            <strRef>
              <f>'Graphiques'!G55</f>
            </strRef>
          </tx>
          <spPr>
            <a:ln xmlns:a="http://schemas.openxmlformats.org/drawingml/2006/main" w="20000">
              <a:solidFill>
                <a:srgbClr val="4A7C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'Graphiques'!$E$56:$E$67</f>
            </numRef>
          </cat>
          <val>
            <numRef>
              <f>'Graphiques'!$G$56:$G$67</f>
            </numRef>
          </val>
          <smooth val="1"/>
        </ser>
        <ser>
          <idx val="1"/>
          <order val="1"/>
          <tx>
            <strRef>
              <f>'Graphiques'!H55</f>
            </strRef>
          </tx>
          <spPr>
            <a:ln xmlns:a="http://schemas.openxmlformats.org/drawingml/2006/main" w="20000">
              <a:solidFill>
                <a:srgbClr val="D487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'Graphiques'!$E$56:$E$67</f>
            </numRef>
          </cat>
          <val>
            <numRef>
              <f>'Graphiques'!$H$56:$H$67</f>
            </numRef>
          </val>
          <smooth val="1"/>
        </ser>
        <ser>
          <idx val="2"/>
          <order val="2"/>
          <tx>
            <strRef>
              <f>'Graphiques'!I55</f>
            </strRef>
          </tx>
          <spPr>
            <a:ln xmlns:a="http://schemas.openxmlformats.org/drawingml/2006/main" w="20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'Graphiques'!$E$56:$E$67</f>
            </numRef>
          </cat>
          <val>
            <numRef>
              <f>'Graphiques'!$I$56:$I$67</f>
            </numRef>
          </val>
          <smooth val="1"/>
        </ser>
        <ser>
          <idx val="3"/>
          <order val="3"/>
          <tx>
            <strRef>
              <f>'Graphiques'!J55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'Graphiques'!$E$56:$E$67</f>
            </numRef>
          </cat>
          <val>
            <numRef>
              <f>'Graphiques'!$J$56:$J$67</f>
            </numRef>
          </val>
          <smooth val="1"/>
        </ser>
        <ser>
          <idx val="4"/>
          <order val="4"/>
          <tx>
            <strRef>
              <f>'Graphiques'!F55</f>
            </strRef>
          </tx>
          <spPr>
            <a:ln xmlns:a="http://schemas.openxmlformats.org/drawingml/2006/main" w="14000">
              <a:solidFill>
                <a:srgbClr val="BBBB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'Graphiques'!$E$56:$E$67</f>
            </numRef>
          </cat>
          <val>
            <numRef>
              <f>'Graphiques'!$F$56:$F$67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Budget par Département</a:t>
            </a:r>
          </a:p>
        </rich>
      </tx>
    </title>
    <plotArea>
      <pieChart>
        <varyColors val="1"/>
        <ser>
          <idx val="0"/>
          <order val="0"/>
          <tx>
            <strRef>
              <f>'Graphiques'!M55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A7CC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4873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8B57"/>
              </a:solidFill>
              <a:ln xmlns:a="http://schemas.openxmlformats.org/drawingml/2006/main">
                <a:prstDash val="solid"/>
              </a:ln>
            </spPr>
          </dPt>
          <cat>
            <numRef>
              <f>'Graphiques'!$L$56:$L$59</f>
            </numRef>
          </cat>
          <val>
            <numRef>
              <f>'Graphiques'!$M$56:$M$59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Écarts Trimestriels par Département (Réalisé − Budget)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'Graphiques'!P55</f>
            </strRef>
          </tx>
          <spPr>
            <a:solidFill xmlns:a="http://schemas.openxmlformats.org/drawingml/2006/main">
              <a:srgbClr val="4A7CC7"/>
            </a:solidFill>
            <a:ln xmlns:a="http://schemas.openxmlformats.org/drawingml/2006/main">
              <a:solidFill>
                <a:srgbClr val="4A7CC7"/>
              </a:solidFill>
              <a:prstDash val="solid"/>
            </a:ln>
          </spPr>
          <cat>
            <numRef>
              <f>'Graphiques'!$O$56:$O$59</f>
            </numRef>
          </cat>
          <val>
            <numRef>
              <f>'Graphiques'!$P$56:$P$59</f>
            </numRef>
          </val>
        </ser>
        <ser>
          <idx val="1"/>
          <order val="1"/>
          <tx>
            <strRef>
              <f>'Graphiques'!Q55</f>
            </strRef>
          </tx>
          <spPr>
            <a:solidFill xmlns:a="http://schemas.openxmlformats.org/drawingml/2006/main">
              <a:srgbClr val="D4873A"/>
            </a:solidFill>
            <a:ln xmlns:a="http://schemas.openxmlformats.org/drawingml/2006/main">
              <a:solidFill>
                <a:srgbClr val="D4873A"/>
              </a:solidFill>
              <a:prstDash val="solid"/>
            </a:ln>
          </spPr>
          <cat>
            <numRef>
              <f>'Graphiques'!$O$56:$O$59</f>
            </numRef>
          </cat>
          <val>
            <numRef>
              <f>'Graphiques'!$Q$56:$Q$59</f>
            </numRef>
          </val>
        </ser>
        <ser>
          <idx val="2"/>
          <order val="2"/>
          <tx>
            <strRef>
              <f>'Graphiques'!R55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'Graphiques'!$O$56:$O$59</f>
            </numRef>
          </cat>
          <val>
            <numRef>
              <f>'Graphiques'!$R$56:$R$59</f>
            </numRef>
          </val>
        </ser>
        <ser>
          <idx val="3"/>
          <order val="3"/>
          <tx>
            <strRef>
              <f>'Graphiques'!S55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solidFill>
                <a:srgbClr val="2E8B57"/>
              </a:solidFill>
              <a:prstDash val="solid"/>
            </a:ln>
          </spPr>
          <cat>
            <numRef>
              <f>'Graphiques'!$O$56:$O$59</f>
            </numRef>
          </cat>
          <val>
            <numRef>
              <f>'Graphiques'!$S$56:$S$59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Trimestre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Écart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4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04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26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14" customWidth="1" min="19" max="19"/>
    <col width="16" customWidth="1" min="20" max="20"/>
  </cols>
  <sheetData>
    <row r="1" ht="32" customHeight="1">
      <c r="B1" s="1" t="inlineStr">
        <is>
          <t>ATLASCORP SA  —  BASE DE DONNÉES BUDGÉTAIRES 2024</t>
        </is>
      </c>
    </row>
    <row r="2" ht="18" customHeight="1">
      <c r="B2" s="2" t="inlineStr">
        <is>
          <t>Suivi Budget vs Réalisé · 4 Départements · Exercice Janvier–Décembre 2024 · Montants en MAD</t>
        </is>
      </c>
    </row>
    <row r="3" ht="4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22" customHeight="1">
      <c r="B4" s="4" t="inlineStr">
        <is>
          <t>Département</t>
        </is>
      </c>
      <c r="C4" s="4" t="inlineStr">
        <is>
          <t>Indicateur</t>
        </is>
      </c>
      <c r="D4" s="4" t="inlineStr">
        <is>
          <t>Jan</t>
        </is>
      </c>
      <c r="E4" s="4" t="inlineStr">
        <is>
          <t>Fév</t>
        </is>
      </c>
      <c r="F4" s="4" t="inlineStr">
        <is>
          <t>Mar</t>
        </is>
      </c>
      <c r="G4" s="4" t="inlineStr">
        <is>
          <t>Avr</t>
        </is>
      </c>
      <c r="H4" s="4" t="inlineStr">
        <is>
          <t>Mai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Aoû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Déc</t>
        </is>
      </c>
      <c r="P4" s="4" t="inlineStr">
        <is>
          <t>Total Annuel</t>
        </is>
      </c>
      <c r="Q4" s="4" t="inlineStr">
        <is>
          <t>Écart Annuel</t>
        </is>
      </c>
      <c r="R4" s="4" t="inlineStr">
        <is>
          <t>Taux (%)</t>
        </is>
      </c>
      <c r="S4" s="4" t="inlineStr">
        <is>
          <t>Statut</t>
        </is>
      </c>
    </row>
    <row r="5" ht="18" customHeight="1">
      <c r="B5" s="5" t="inlineStr">
        <is>
          <t>Ressources Humaines</t>
        </is>
      </c>
      <c r="C5" s="6" t="inlineStr">
        <is>
          <t>Budget Alloué</t>
        </is>
      </c>
      <c r="D5" s="7" t="n">
        <v>285000</v>
      </c>
      <c r="E5" s="7" t="n">
        <v>285000</v>
      </c>
      <c r="F5" s="7" t="n">
        <v>295000</v>
      </c>
      <c r="G5" s="7" t="n">
        <v>285000</v>
      </c>
      <c r="H5" s="7" t="n">
        <v>285000</v>
      </c>
      <c r="I5" s="7" t="n">
        <v>295000</v>
      </c>
      <c r="J5" s="7" t="n">
        <v>285000</v>
      </c>
      <c r="K5" s="7" t="n">
        <v>285000</v>
      </c>
      <c r="L5" s="7" t="n">
        <v>295000</v>
      </c>
      <c r="M5" s="7" t="n">
        <v>290000</v>
      </c>
      <c r="N5" s="7" t="n">
        <v>290000</v>
      </c>
      <c r="O5" s="7" t="n">
        <v>310000</v>
      </c>
      <c r="Q5" s="8">
        <f>SUM(D5:O5)</f>
        <v/>
      </c>
      <c r="R5" s="9">
        <f>Q6-Q5</f>
        <v/>
      </c>
      <c r="S5" s="10">
        <f>IF(Q5&lt;&gt;0,Q6/Q5-1,0)</f>
        <v/>
      </c>
      <c r="T5" s="11" t="inlineStr">
        <is>
          <t>⚠ DÉPASSEMENT</t>
        </is>
      </c>
    </row>
    <row r="6" ht="18" customHeight="1">
      <c r="C6" s="12" t="inlineStr">
        <is>
          <t>Réalisé</t>
        </is>
      </c>
      <c r="D6" s="13" t="n">
        <v>281000</v>
      </c>
      <c r="E6" s="13" t="n">
        <v>292000</v>
      </c>
      <c r="F6" s="13" t="n">
        <v>298000</v>
      </c>
      <c r="G6" s="13" t="n">
        <v>288000</v>
      </c>
      <c r="H6" s="13" t="n">
        <v>283000</v>
      </c>
      <c r="I6" s="13" t="n">
        <v>301000</v>
      </c>
      <c r="J6" s="13" t="n">
        <v>290000</v>
      </c>
      <c r="K6" s="13" t="n">
        <v>279000</v>
      </c>
      <c r="L6" s="13" t="n">
        <v>295000</v>
      </c>
      <c r="M6" s="13" t="n">
        <v>296000</v>
      </c>
      <c r="N6" s="13" t="n">
        <v>288000</v>
      </c>
      <c r="O6" s="13" t="n">
        <v>315000</v>
      </c>
      <c r="Q6" s="14">
        <f>SUM(D6:O6)</f>
        <v/>
      </c>
    </row>
    <row r="7" ht="18" customHeight="1">
      <c r="C7" s="15" t="inlineStr">
        <is>
          <t>Écart (R-B)</t>
        </is>
      </c>
      <c r="D7" s="16">
        <f>D6-D5</f>
        <v/>
      </c>
      <c r="E7" s="16">
        <f>E6-E5</f>
        <v/>
      </c>
      <c r="F7" s="16">
        <f>F6-F5</f>
        <v/>
      </c>
      <c r="G7" s="16">
        <f>G6-G5</f>
        <v/>
      </c>
      <c r="H7" s="16">
        <f>H6-H5</f>
        <v/>
      </c>
      <c r="I7" s="16">
        <f>I6-I5</f>
        <v/>
      </c>
      <c r="J7" s="16">
        <f>J6-J5</f>
        <v/>
      </c>
      <c r="K7" s="16">
        <f>K6-K5</f>
        <v/>
      </c>
      <c r="L7" s="16">
        <f>L6-L5</f>
        <v/>
      </c>
      <c r="M7" s="16">
        <f>M6-M5</f>
        <v/>
      </c>
      <c r="N7" s="16">
        <f>N6-N5</f>
        <v/>
      </c>
      <c r="O7" s="16">
        <f>O6-O5</f>
        <v/>
      </c>
      <c r="Q7" s="16">
        <f>Q6-Q5</f>
        <v/>
      </c>
    </row>
    <row r="8" ht="18" customHeight="1">
      <c r="C8" s="17" t="inlineStr">
        <is>
          <t>Taux Réalisation</t>
        </is>
      </c>
      <c r="D8" s="18">
        <f>IF(D5&lt;&gt;0,D6/D5-1,0)</f>
        <v/>
      </c>
      <c r="E8" s="18">
        <f>IF(E5&lt;&gt;0,E6/E5-1,0)</f>
        <v/>
      </c>
      <c r="F8" s="18">
        <f>IF(F5&lt;&gt;0,F6/F5-1,0)</f>
        <v/>
      </c>
      <c r="G8" s="18">
        <f>IF(G5&lt;&gt;0,G6/G5-1,0)</f>
        <v/>
      </c>
      <c r="H8" s="18">
        <f>IF(H5&lt;&gt;0,H6/H5-1,0)</f>
        <v/>
      </c>
      <c r="I8" s="18">
        <f>IF(I5&lt;&gt;0,I6/I5-1,0)</f>
        <v/>
      </c>
      <c r="J8" s="18">
        <f>IF(J5&lt;&gt;0,J6/J5-1,0)</f>
        <v/>
      </c>
      <c r="K8" s="18">
        <f>IF(K5&lt;&gt;0,K6/K5-1,0)</f>
        <v/>
      </c>
      <c r="L8" s="18">
        <f>IF(L5&lt;&gt;0,L6/L5-1,0)</f>
        <v/>
      </c>
      <c r="M8" s="18">
        <f>IF(M5&lt;&gt;0,M6/M5-1,0)</f>
        <v/>
      </c>
      <c r="N8" s="18">
        <f>IF(N5&lt;&gt;0,N6/N5-1,0)</f>
        <v/>
      </c>
      <c r="O8" s="18">
        <f>IF(O5&lt;&gt;0,O6/O5-1,0)</f>
        <v/>
      </c>
      <c r="Q8" s="18">
        <f>IF(Q5&lt;&gt;0,Q6/Q5-1,0)</f>
        <v/>
      </c>
    </row>
    <row r="9" ht="5" customHeight="1"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</row>
    <row r="10" ht="18" customHeight="1">
      <c r="B10" s="20" t="inlineStr">
        <is>
          <t>Marketing &amp; Communication</t>
        </is>
      </c>
      <c r="C10" s="21" t="inlineStr">
        <is>
          <t>Budget Alloué</t>
        </is>
      </c>
      <c r="D10" s="22" t="n">
        <v>180000</v>
      </c>
      <c r="E10" s="22" t="n">
        <v>180000</v>
      </c>
      <c r="F10" s="22" t="n">
        <v>200000</v>
      </c>
      <c r="G10" s="22" t="n">
        <v>220000</v>
      </c>
      <c r="H10" s="22" t="n">
        <v>220000</v>
      </c>
      <c r="I10" s="22" t="n">
        <v>200000</v>
      </c>
      <c r="J10" s="22" t="n">
        <v>160000</v>
      </c>
      <c r="K10" s="22" t="n">
        <v>160000</v>
      </c>
      <c r="L10" s="22" t="n">
        <v>180000</v>
      </c>
      <c r="M10" s="22" t="n">
        <v>200000</v>
      </c>
      <c r="N10" s="22" t="n">
        <v>210000</v>
      </c>
      <c r="O10" s="22" t="n">
        <v>250000</v>
      </c>
      <c r="Q10" s="23">
        <f>SUM(D10:O10)</f>
        <v/>
      </c>
      <c r="R10" s="24">
        <f>Q11-Q10</f>
        <v/>
      </c>
      <c r="S10" s="25">
        <f>IF(Q10&lt;&gt;0,Q11/Q10-1,0)</f>
        <v/>
      </c>
      <c r="T10" s="26" t="inlineStr">
        <is>
          <t>⚠ DÉPASSEMENT</t>
        </is>
      </c>
    </row>
    <row r="11" ht="18" customHeight="1">
      <c r="C11" s="12" t="inlineStr">
        <is>
          <t>Réalisé</t>
        </is>
      </c>
      <c r="D11" s="13" t="n">
        <v>172000</v>
      </c>
      <c r="E11" s="13" t="n">
        <v>188000</v>
      </c>
      <c r="F11" s="13" t="n">
        <v>215000</v>
      </c>
      <c r="G11" s="13" t="n">
        <v>238000</v>
      </c>
      <c r="H11" s="13" t="n">
        <v>245000</v>
      </c>
      <c r="I11" s="13" t="n">
        <v>198000</v>
      </c>
      <c r="J11" s="13" t="n">
        <v>155000</v>
      </c>
      <c r="K11" s="13" t="n">
        <v>162000</v>
      </c>
      <c r="L11" s="13" t="n">
        <v>192000</v>
      </c>
      <c r="M11" s="13" t="n">
        <v>222000</v>
      </c>
      <c r="N11" s="13" t="n">
        <v>228000</v>
      </c>
      <c r="O11" s="13" t="n">
        <v>285000</v>
      </c>
      <c r="Q11" s="14">
        <f>SUM(D11:O11)</f>
        <v/>
      </c>
    </row>
    <row r="12" ht="18" customHeight="1">
      <c r="C12" s="15" t="inlineStr">
        <is>
          <t>Écart (R-B)</t>
        </is>
      </c>
      <c r="D12" s="16">
        <f>D11-D10</f>
        <v/>
      </c>
      <c r="E12" s="16">
        <f>E11-E10</f>
        <v/>
      </c>
      <c r="F12" s="16">
        <f>F11-F10</f>
        <v/>
      </c>
      <c r="G12" s="16">
        <f>G11-G10</f>
        <v/>
      </c>
      <c r="H12" s="16">
        <f>H11-H10</f>
        <v/>
      </c>
      <c r="I12" s="16">
        <f>I11-I10</f>
        <v/>
      </c>
      <c r="J12" s="16">
        <f>J11-J10</f>
        <v/>
      </c>
      <c r="K12" s="16">
        <f>K11-K10</f>
        <v/>
      </c>
      <c r="L12" s="16">
        <f>L11-L10</f>
        <v/>
      </c>
      <c r="M12" s="16">
        <f>M11-M10</f>
        <v/>
      </c>
      <c r="N12" s="16">
        <f>N11-N10</f>
        <v/>
      </c>
      <c r="O12" s="16">
        <f>O11-O10</f>
        <v/>
      </c>
      <c r="Q12" s="16">
        <f>Q11-Q10</f>
        <v/>
      </c>
    </row>
    <row r="13" ht="18" customHeight="1">
      <c r="C13" s="17" t="inlineStr">
        <is>
          <t>Taux Réalisation</t>
        </is>
      </c>
      <c r="D13" s="18">
        <f>IF(D10&lt;&gt;0,D11/D10-1,0)</f>
        <v/>
      </c>
      <c r="E13" s="18">
        <f>IF(E10&lt;&gt;0,E11/E10-1,0)</f>
        <v/>
      </c>
      <c r="F13" s="18">
        <f>IF(F10&lt;&gt;0,F11/F10-1,0)</f>
        <v/>
      </c>
      <c r="G13" s="18">
        <f>IF(G10&lt;&gt;0,G11/G10-1,0)</f>
        <v/>
      </c>
      <c r="H13" s="18">
        <f>IF(H10&lt;&gt;0,H11/H10-1,0)</f>
        <v/>
      </c>
      <c r="I13" s="18">
        <f>IF(I10&lt;&gt;0,I11/I10-1,0)</f>
        <v/>
      </c>
      <c r="J13" s="18">
        <f>IF(J10&lt;&gt;0,J11/J10-1,0)</f>
        <v/>
      </c>
      <c r="K13" s="18">
        <f>IF(K10&lt;&gt;0,K11/K10-1,0)</f>
        <v/>
      </c>
      <c r="L13" s="18">
        <f>IF(L10&lt;&gt;0,L11/L10-1,0)</f>
        <v/>
      </c>
      <c r="M13" s="18">
        <f>IF(M10&lt;&gt;0,M11/M10-1,0)</f>
        <v/>
      </c>
      <c r="N13" s="18">
        <f>IF(N10&lt;&gt;0,N11/N10-1,0)</f>
        <v/>
      </c>
      <c r="O13" s="18">
        <f>IF(O10&lt;&gt;0,O11/O10-1,0)</f>
        <v/>
      </c>
      <c r="Q13" s="18">
        <f>IF(Q10&lt;&gt;0,Q11/Q10-1,0)</f>
        <v/>
      </c>
    </row>
    <row r="14" ht="5" customHeight="1"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8" customHeight="1">
      <c r="B15" s="27" t="inlineStr">
        <is>
          <t>Production &amp; Opérations</t>
        </is>
      </c>
      <c r="C15" s="28" t="inlineStr">
        <is>
          <t>Budget Alloué</t>
        </is>
      </c>
      <c r="D15" s="29" t="n">
        <v>520000</v>
      </c>
      <c r="E15" s="29" t="n">
        <v>520000</v>
      </c>
      <c r="F15" s="29" t="n">
        <v>540000</v>
      </c>
      <c r="G15" s="29" t="n">
        <v>510000</v>
      </c>
      <c r="H15" s="29" t="n">
        <v>510000</v>
      </c>
      <c r="I15" s="29" t="n">
        <v>550000</v>
      </c>
      <c r="J15" s="29" t="n">
        <v>530000</v>
      </c>
      <c r="K15" s="29" t="n">
        <v>530000</v>
      </c>
      <c r="L15" s="29" t="n">
        <v>545000</v>
      </c>
      <c r="M15" s="29" t="n">
        <v>520000</v>
      </c>
      <c r="N15" s="29" t="n">
        <v>520000</v>
      </c>
      <c r="O15" s="29" t="n">
        <v>560000</v>
      </c>
      <c r="Q15" s="30">
        <f>SUM(D15:O15)</f>
        <v/>
      </c>
      <c r="R15" s="31">
        <f>Q16-Q15</f>
        <v/>
      </c>
      <c r="S15" s="32">
        <f>IF(Q15&lt;&gt;0,Q16/Q15-1,0)</f>
        <v/>
      </c>
      <c r="T15" s="26" t="inlineStr">
        <is>
          <t>⚠ DÉPASSEMENT</t>
        </is>
      </c>
    </row>
    <row r="16" ht="18" customHeight="1">
      <c r="C16" s="12" t="inlineStr">
        <is>
          <t>Réalisé</t>
        </is>
      </c>
      <c r="D16" s="13" t="n">
        <v>518000</v>
      </c>
      <c r="E16" s="13" t="n">
        <v>531000</v>
      </c>
      <c r="F16" s="13" t="n">
        <v>558000</v>
      </c>
      <c r="G16" s="13" t="n">
        <v>512000</v>
      </c>
      <c r="H16" s="13" t="n">
        <v>525000</v>
      </c>
      <c r="I16" s="13" t="n">
        <v>572000</v>
      </c>
      <c r="J16" s="13" t="n">
        <v>548000</v>
      </c>
      <c r="K16" s="13" t="n">
        <v>562000</v>
      </c>
      <c r="L16" s="13" t="n">
        <v>571000</v>
      </c>
      <c r="M16" s="13" t="n">
        <v>535000</v>
      </c>
      <c r="N16" s="13" t="n">
        <v>542000</v>
      </c>
      <c r="O16" s="13" t="n">
        <v>580000</v>
      </c>
      <c r="Q16" s="14">
        <f>SUM(D16:O16)</f>
        <v/>
      </c>
    </row>
    <row r="17" ht="18" customHeight="1">
      <c r="C17" s="15" t="inlineStr">
        <is>
          <t>Écart (R-B)</t>
        </is>
      </c>
      <c r="D17" s="16">
        <f>D16-D15</f>
        <v/>
      </c>
      <c r="E17" s="16">
        <f>E16-E15</f>
        <v/>
      </c>
      <c r="F17" s="16">
        <f>F16-F15</f>
        <v/>
      </c>
      <c r="G17" s="16">
        <f>G16-G15</f>
        <v/>
      </c>
      <c r="H17" s="16">
        <f>H16-H15</f>
        <v/>
      </c>
      <c r="I17" s="16">
        <f>I16-I15</f>
        <v/>
      </c>
      <c r="J17" s="16">
        <f>J16-J15</f>
        <v/>
      </c>
      <c r="K17" s="16">
        <f>K16-K15</f>
        <v/>
      </c>
      <c r="L17" s="16">
        <f>L16-L15</f>
        <v/>
      </c>
      <c r="M17" s="16">
        <f>M16-M15</f>
        <v/>
      </c>
      <c r="N17" s="16">
        <f>N16-N15</f>
        <v/>
      </c>
      <c r="O17" s="16">
        <f>O16-O15</f>
        <v/>
      </c>
      <c r="Q17" s="16">
        <f>Q16-Q15</f>
        <v/>
      </c>
    </row>
    <row r="18" ht="18" customHeight="1">
      <c r="C18" s="17" t="inlineStr">
        <is>
          <t>Taux Réalisation</t>
        </is>
      </c>
      <c r="D18" s="18">
        <f>IF(D15&lt;&gt;0,D16/D15-1,0)</f>
        <v/>
      </c>
      <c r="E18" s="18">
        <f>IF(E15&lt;&gt;0,E16/E15-1,0)</f>
        <v/>
      </c>
      <c r="F18" s="18">
        <f>IF(F15&lt;&gt;0,F16/F15-1,0)</f>
        <v/>
      </c>
      <c r="G18" s="18">
        <f>IF(G15&lt;&gt;0,G16/G15-1,0)</f>
        <v/>
      </c>
      <c r="H18" s="18">
        <f>IF(H15&lt;&gt;0,H16/H15-1,0)</f>
        <v/>
      </c>
      <c r="I18" s="18">
        <f>IF(I15&lt;&gt;0,I16/I15-1,0)</f>
        <v/>
      </c>
      <c r="J18" s="18">
        <f>IF(J15&lt;&gt;0,J16/J15-1,0)</f>
        <v/>
      </c>
      <c r="K18" s="18">
        <f>IF(K15&lt;&gt;0,K16/K15-1,0)</f>
        <v/>
      </c>
      <c r="L18" s="18">
        <f>IF(L15&lt;&gt;0,L16/L15-1,0)</f>
        <v/>
      </c>
      <c r="M18" s="18">
        <f>IF(M15&lt;&gt;0,M16/M15-1,0)</f>
        <v/>
      </c>
      <c r="N18" s="18">
        <f>IF(N15&lt;&gt;0,N16/N15-1,0)</f>
        <v/>
      </c>
      <c r="O18" s="18">
        <f>IF(O15&lt;&gt;0,O16/O15-1,0)</f>
        <v/>
      </c>
      <c r="Q18" s="18">
        <f>IF(Q15&lt;&gt;0,Q16/Q15-1,0)</f>
        <v/>
      </c>
    </row>
    <row r="19" ht="5" customHeight="1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</row>
    <row r="20" ht="18" customHeight="1">
      <c r="B20" s="33" t="inlineStr">
        <is>
          <t>IT / Digital</t>
        </is>
      </c>
      <c r="C20" s="34" t="inlineStr">
        <is>
          <t>Budget Alloué</t>
        </is>
      </c>
      <c r="D20" s="35" t="n">
        <v>150000</v>
      </c>
      <c r="E20" s="35" t="n">
        <v>150000</v>
      </c>
      <c r="F20" s="35" t="n">
        <v>160000</v>
      </c>
      <c r="G20" s="35" t="n">
        <v>150000</v>
      </c>
      <c r="H20" s="35" t="n">
        <v>150000</v>
      </c>
      <c r="I20" s="35" t="n">
        <v>160000</v>
      </c>
      <c r="J20" s="35" t="n">
        <v>150000</v>
      </c>
      <c r="K20" s="35" t="n">
        <v>150000</v>
      </c>
      <c r="L20" s="35" t="n">
        <v>160000</v>
      </c>
      <c r="M20" s="35" t="n">
        <v>155000</v>
      </c>
      <c r="N20" s="35" t="n">
        <v>155000</v>
      </c>
      <c r="O20" s="35" t="n">
        <v>175000</v>
      </c>
      <c r="Q20" s="36">
        <f>SUM(D20:O20)</f>
        <v/>
      </c>
      <c r="R20" s="37">
        <f>Q21-Q20</f>
        <v/>
      </c>
      <c r="S20" s="38">
        <f>IF(Q20&lt;&gt;0,Q21/Q20-1,0)</f>
        <v/>
      </c>
      <c r="T20" s="39" t="inlineStr">
        <is>
          <t>✅ OK</t>
        </is>
      </c>
    </row>
    <row r="21" ht="18" customHeight="1">
      <c r="C21" s="12" t="inlineStr">
        <is>
          <t>Réalisé</t>
        </is>
      </c>
      <c r="D21" s="13" t="n">
        <v>148000</v>
      </c>
      <c r="E21" s="13" t="n">
        <v>152000</v>
      </c>
      <c r="F21" s="13" t="n">
        <v>158000</v>
      </c>
      <c r="G21" s="13" t="n">
        <v>147000</v>
      </c>
      <c r="H21" s="13" t="n">
        <v>153000</v>
      </c>
      <c r="I21" s="13" t="n">
        <v>162000</v>
      </c>
      <c r="J21" s="13" t="n">
        <v>145000</v>
      </c>
      <c r="K21" s="13" t="n">
        <v>149000</v>
      </c>
      <c r="L21" s="13" t="n">
        <v>155000</v>
      </c>
      <c r="M21" s="13" t="n">
        <v>159000</v>
      </c>
      <c r="N21" s="13" t="n">
        <v>157000</v>
      </c>
      <c r="O21" s="13" t="n">
        <v>172000</v>
      </c>
      <c r="Q21" s="14">
        <f>SUM(D21:O21)</f>
        <v/>
      </c>
    </row>
    <row r="22" ht="18" customHeight="1">
      <c r="C22" s="15" t="inlineStr">
        <is>
          <t>Écart (R-B)</t>
        </is>
      </c>
      <c r="D22" s="40">
        <f>D21-D20</f>
        <v/>
      </c>
      <c r="E22" s="40">
        <f>E21-E20</f>
        <v/>
      </c>
      <c r="F22" s="40">
        <f>F21-F20</f>
        <v/>
      </c>
      <c r="G22" s="40">
        <f>G21-G20</f>
        <v/>
      </c>
      <c r="H22" s="40">
        <f>H21-H20</f>
        <v/>
      </c>
      <c r="I22" s="40">
        <f>I21-I20</f>
        <v/>
      </c>
      <c r="J22" s="40">
        <f>J21-J20</f>
        <v/>
      </c>
      <c r="K22" s="40">
        <f>K21-K20</f>
        <v/>
      </c>
      <c r="L22" s="40">
        <f>L21-L20</f>
        <v/>
      </c>
      <c r="M22" s="40">
        <f>M21-M20</f>
        <v/>
      </c>
      <c r="N22" s="40">
        <f>N21-N20</f>
        <v/>
      </c>
      <c r="O22" s="40">
        <f>O21-O20</f>
        <v/>
      </c>
      <c r="Q22" s="40">
        <f>Q21-Q20</f>
        <v/>
      </c>
    </row>
    <row r="23" ht="18" customHeight="1">
      <c r="C23" s="17" t="inlineStr">
        <is>
          <t>Taux Réalisation</t>
        </is>
      </c>
      <c r="D23" s="41">
        <f>IF(D20&lt;&gt;0,D21/D20-1,0)</f>
        <v/>
      </c>
      <c r="E23" s="41">
        <f>IF(E20&lt;&gt;0,E21/E20-1,0)</f>
        <v/>
      </c>
      <c r="F23" s="41">
        <f>IF(F20&lt;&gt;0,F21/F20-1,0)</f>
        <v/>
      </c>
      <c r="G23" s="41">
        <f>IF(G20&lt;&gt;0,G21/G20-1,0)</f>
        <v/>
      </c>
      <c r="H23" s="41">
        <f>IF(H20&lt;&gt;0,H21/H20-1,0)</f>
        <v/>
      </c>
      <c r="I23" s="41">
        <f>IF(I20&lt;&gt;0,I21/I20-1,0)</f>
        <v/>
      </c>
      <c r="J23" s="41">
        <f>IF(J20&lt;&gt;0,J21/J20-1,0)</f>
        <v/>
      </c>
      <c r="K23" s="41">
        <f>IF(K20&lt;&gt;0,K21/K20-1,0)</f>
        <v/>
      </c>
      <c r="L23" s="41">
        <f>IF(L20&lt;&gt;0,L21/L20-1,0)</f>
        <v/>
      </c>
      <c r="M23" s="41">
        <f>IF(M20&lt;&gt;0,M21/M20-1,0)</f>
        <v/>
      </c>
      <c r="N23" s="41">
        <f>IF(N20&lt;&gt;0,N21/N20-1,0)</f>
        <v/>
      </c>
      <c r="O23" s="41">
        <f>IF(O20&lt;&gt;0,O21/O20-1,0)</f>
        <v/>
      </c>
      <c r="Q23" s="41">
        <f>IF(Q20&lt;&gt;0,Q21/Q20-1,0)</f>
        <v/>
      </c>
    </row>
    <row r="24" ht="5" customHeight="1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</row>
    <row r="25" ht="20" customHeight="1">
      <c r="B25" s="42" t="inlineStr">
        <is>
          <t>TOTAL GLOBAL</t>
        </is>
      </c>
      <c r="C25" s="43" t="inlineStr">
        <is>
          <t>Budget Total</t>
        </is>
      </c>
      <c r="D25" s="44">
        <f>D5+D10+D15+D20</f>
        <v/>
      </c>
      <c r="E25" s="44">
        <f>E5+E10+E15+E20</f>
        <v/>
      </c>
      <c r="F25" s="44">
        <f>F5+F10+F15+F20</f>
        <v/>
      </c>
      <c r="G25" s="44">
        <f>G5+G10+G15+G20</f>
        <v/>
      </c>
      <c r="H25" s="44">
        <f>H5+H10+H15+H20</f>
        <v/>
      </c>
      <c r="I25" s="44">
        <f>I5+I10+I15+I20</f>
        <v/>
      </c>
      <c r="J25" s="44">
        <f>J5+J10+J15+J20</f>
        <v/>
      </c>
      <c r="K25" s="44">
        <f>K5+K10+K15+K20</f>
        <v/>
      </c>
      <c r="L25" s="44">
        <f>L5+L10+L15+L20</f>
        <v/>
      </c>
      <c r="M25" s="44">
        <f>M5+M10+M15+M20</f>
        <v/>
      </c>
      <c r="N25" s="44">
        <f>N5+N10+N15+N20</f>
        <v/>
      </c>
      <c r="O25" s="44">
        <f>O5+O10+O15+O20</f>
        <v/>
      </c>
      <c r="Q25" s="44">
        <f>SUM(D25:O25)</f>
        <v/>
      </c>
      <c r="R25" s="45" t="n"/>
      <c r="S25" s="45" t="n"/>
      <c r="T25" s="45" t="n"/>
    </row>
    <row r="26" ht="20" customHeight="1">
      <c r="C26" s="43" t="inlineStr">
        <is>
          <t>Réalisé Total</t>
        </is>
      </c>
      <c r="D26" s="44">
        <f>D6+D11+D16+D21</f>
        <v/>
      </c>
      <c r="E26" s="44">
        <f>E6+E11+E16+E21</f>
        <v/>
      </c>
      <c r="F26" s="44">
        <f>F6+F11+F16+F21</f>
        <v/>
      </c>
      <c r="G26" s="44">
        <f>G6+G11+G16+G21</f>
        <v/>
      </c>
      <c r="H26" s="44">
        <f>H6+H11+H16+H21</f>
        <v/>
      </c>
      <c r="I26" s="44">
        <f>I6+I11+I16+I21</f>
        <v/>
      </c>
      <c r="J26" s="44">
        <f>J6+J11+J16+J21</f>
        <v/>
      </c>
      <c r="K26" s="44">
        <f>K6+K11+K16+K21</f>
        <v/>
      </c>
      <c r="L26" s="44">
        <f>L6+L11+L16+L21</f>
        <v/>
      </c>
      <c r="M26" s="44">
        <f>M6+M11+M16+M21</f>
        <v/>
      </c>
      <c r="N26" s="44">
        <f>N6+N11+N16+N21</f>
        <v/>
      </c>
      <c r="O26" s="44">
        <f>O6+O11+O16+O21</f>
        <v/>
      </c>
      <c r="Q26" s="44">
        <f>SUM(D26:O26)</f>
        <v/>
      </c>
      <c r="R26" s="45" t="n"/>
      <c r="S26" s="45" t="n"/>
      <c r="T26" s="45" t="n"/>
    </row>
    <row r="27" ht="20" customHeight="1">
      <c r="C27" s="43" t="inlineStr">
        <is>
          <t>Écart Total</t>
        </is>
      </c>
      <c r="D27" s="46">
        <f>D26-D25</f>
        <v/>
      </c>
      <c r="E27" s="46">
        <f>E26-E25</f>
        <v/>
      </c>
      <c r="F27" s="46">
        <f>F26-F25</f>
        <v/>
      </c>
      <c r="G27" s="46">
        <f>G26-G25</f>
        <v/>
      </c>
      <c r="H27" s="46">
        <f>H26-H25</f>
        <v/>
      </c>
      <c r="I27" s="46">
        <f>I26-I25</f>
        <v/>
      </c>
      <c r="J27" s="46">
        <f>J26-J25</f>
        <v/>
      </c>
      <c r="K27" s="46">
        <f>K26-K25</f>
        <v/>
      </c>
      <c r="L27" s="46">
        <f>L26-L25</f>
        <v/>
      </c>
      <c r="M27" s="46">
        <f>M26-M25</f>
        <v/>
      </c>
      <c r="N27" s="46">
        <f>N26-N25</f>
        <v/>
      </c>
      <c r="O27" s="46">
        <f>O26-O25</f>
        <v/>
      </c>
      <c r="Q27" s="46">
        <f>Q26-Q25</f>
        <v/>
      </c>
      <c r="R27" s="45" t="n"/>
      <c r="S27" s="45" t="n"/>
      <c r="T27" s="45" t="n"/>
    </row>
    <row r="28" ht="20" customHeight="1">
      <c r="C28" s="43" t="inlineStr">
        <is>
          <t>Taux Global</t>
        </is>
      </c>
      <c r="D28" s="47">
        <f>IF(D26&lt;&gt;0,D27/D26-1,0)</f>
        <v/>
      </c>
      <c r="E28" s="47">
        <f>IF(E26&lt;&gt;0,E27/E26-1,0)</f>
        <v/>
      </c>
      <c r="F28" s="47">
        <f>IF(F26&lt;&gt;0,F27/F26-1,0)</f>
        <v/>
      </c>
      <c r="G28" s="47">
        <f>IF(G26&lt;&gt;0,G27/G26-1,0)</f>
        <v/>
      </c>
      <c r="H28" s="47">
        <f>IF(H26&lt;&gt;0,H27/H26-1,0)</f>
        <v/>
      </c>
      <c r="I28" s="47">
        <f>IF(I26&lt;&gt;0,I27/I26-1,0)</f>
        <v/>
      </c>
      <c r="J28" s="47">
        <f>IF(J26&lt;&gt;0,J27/J26-1,0)</f>
        <v/>
      </c>
      <c r="K28" s="47">
        <f>IF(K26&lt;&gt;0,K27/K26-1,0)</f>
        <v/>
      </c>
      <c r="L28" s="47">
        <f>IF(L26&lt;&gt;0,L27/L26-1,0)</f>
        <v/>
      </c>
      <c r="M28" s="47">
        <f>IF(M26&lt;&gt;0,M27/M26-1,0)</f>
        <v/>
      </c>
      <c r="N28" s="47">
        <f>IF(N26&lt;&gt;0,N27/N26-1,0)</f>
        <v/>
      </c>
      <c r="O28" s="47">
        <f>IF(O26&lt;&gt;0,O27/O26-1,0)</f>
        <v/>
      </c>
      <c r="Q28" s="47">
        <f>IF(Q26&lt;&gt;0,Q27/Q26-1,0)</f>
        <v/>
      </c>
      <c r="R28" s="45" t="n"/>
      <c r="S28" s="45" t="n"/>
      <c r="T28" s="45" t="n"/>
    </row>
  </sheetData>
  <mergeCells count="19">
    <mergeCell ref="T20:T23"/>
    <mergeCell ref="R10:R13"/>
    <mergeCell ref="T10:T13"/>
    <mergeCell ref="R15:R18"/>
    <mergeCell ref="R20:R23"/>
    <mergeCell ref="B10:B13"/>
    <mergeCell ref="S10:S13"/>
    <mergeCell ref="B15:B18"/>
    <mergeCell ref="S15:S18"/>
    <mergeCell ref="S5:S8"/>
    <mergeCell ref="S20:S23"/>
    <mergeCell ref="B2:T2"/>
    <mergeCell ref="B5:B8"/>
    <mergeCell ref="B20:B23"/>
    <mergeCell ref="B1:T1"/>
    <mergeCell ref="B25:B28"/>
    <mergeCell ref="T15:T18"/>
    <mergeCell ref="R5:R8"/>
    <mergeCell ref="T5:T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32" customHeight="1">
      <c r="B1" s="1" t="inlineStr">
        <is>
          <t>ATLASCORP SA  —  INDICATEURS CLÉS DE PERFORMANCE 2024</t>
        </is>
      </c>
    </row>
    <row r="2" ht="18" customHeight="1">
      <c r="B2" s="2" t="inlineStr">
        <is>
          <t>Direction Administrative et Financière  ·  Exercice Janvier–Décembre 2024</t>
        </is>
      </c>
    </row>
    <row r="3" ht="4" customHeight="1">
      <c r="B3" s="3" t="n"/>
      <c r="C3" s="3" t="n"/>
      <c r="D3" s="3" t="n"/>
      <c r="E3" s="3" t="n"/>
      <c r="F3" s="3" t="n"/>
    </row>
    <row r="5" ht="22" customHeight="1">
      <c r="B5" s="48" t="inlineStr">
        <is>
          <t xml:space="preserve">  INDICATEURS GLOBAUX</t>
        </is>
      </c>
    </row>
    <row r="6" ht="18" customHeight="1">
      <c r="B6" s="49" t="inlineStr">
        <is>
          <t>BUDGET TOTAL ALLOUÉ</t>
        </is>
      </c>
      <c r="C6" s="50" t="inlineStr">
        <is>
          <t>RÉALISÉ TOTAL</t>
        </is>
      </c>
      <c r="D6" s="51" t="inlineStr">
        <is>
          <t>ÉCART GLOBAL</t>
        </is>
      </c>
      <c r="E6" s="51" t="inlineStr">
        <is>
          <t>TAUX DE DÉPASSEMENT GLOBAL</t>
        </is>
      </c>
    </row>
    <row r="7" ht="30" customHeight="1">
      <c r="B7" s="52">
        <f>'Base de Données'!Q5</f>
        <v/>
      </c>
      <c r="C7" s="53">
        <f>'Base de Données'!Q10</f>
        <v/>
      </c>
      <c r="D7" s="54">
        <f>'Base de Données'!Q15</f>
        <v/>
      </c>
      <c r="E7" s="55">
        <f>IF('Base de Données'!Q5&lt;&gt;0,'Base de Données'!Q10/'Base de Données'!Q5-1,0)</f>
        <v/>
      </c>
    </row>
    <row r="8" ht="16" customHeight="1">
      <c r="B8" s="56" t="inlineStr">
        <is>
          <t>Budget consolidé — 4 départements</t>
        </is>
      </c>
      <c r="C8" s="57" t="inlineStr">
        <is>
          <t>Dépenses effectives 2024</t>
        </is>
      </c>
      <c r="D8" s="58" t="inlineStr">
        <is>
          <t>+2,50% au-dessus du budget</t>
        </is>
      </c>
      <c r="E8" s="58" t="inlineStr">
        <is>
          <t>Réalisé / Budget − 1</t>
        </is>
      </c>
    </row>
    <row r="9" ht="14" customHeight="1">
      <c r="B9" s="59" t="inlineStr">
        <is>
          <t>Exercice 2024</t>
        </is>
      </c>
      <c r="C9" s="60" t="inlineStr"/>
      <c r="D9" s="61" t="inlineStr">
        <is>
          <t>3 depts en dépassement</t>
        </is>
      </c>
      <c r="E9" s="61" t="inlineStr">
        <is>
          <t>Objectif : &lt; 0%</t>
        </is>
      </c>
    </row>
    <row r="11" ht="22" customHeight="1">
      <c r="B11" s="48" t="inlineStr">
        <is>
          <t xml:space="preserve">  KPI PAR DÉPARTEMENT</t>
        </is>
      </c>
    </row>
    <row r="12" ht="20" customHeight="1">
      <c r="B12" s="62" t="inlineStr">
        <is>
          <t>Département</t>
        </is>
      </c>
      <c r="C12" s="62" t="inlineStr">
        <is>
          <t>Budget Annuel</t>
        </is>
      </c>
      <c r="D12" s="62" t="inlineStr">
        <is>
          <t>Réalisé Annuel</t>
        </is>
      </c>
      <c r="E12" s="62" t="inlineStr">
        <is>
          <t>Écart Annuel</t>
        </is>
      </c>
      <c r="F12" s="62" t="inlineStr">
        <is>
          <t>Taux &amp; Risque</t>
        </is>
      </c>
    </row>
    <row r="13" ht="24" customHeight="1">
      <c r="B13" s="63" t="inlineStr">
        <is>
          <t>Ressources Humaines</t>
        </is>
      </c>
      <c r="C13" s="7">
        <f>'Base de Données'!Q5</f>
        <v/>
      </c>
      <c r="D13" s="64">
        <f>'Base de Données'!Q6</f>
        <v/>
      </c>
      <c r="E13" s="65">
        <f>D13-C13</f>
        <v/>
      </c>
      <c r="F13" s="66">
        <f>IF(C13&lt;&gt;0,D13/C13-1,0)</f>
        <v/>
      </c>
    </row>
    <row r="14" ht="24" customHeight="1">
      <c r="B14" s="17" t="inlineStr">
        <is>
          <t>Marketing &amp; Communication</t>
        </is>
      </c>
      <c r="C14" s="67">
        <f>'Base de Données'!Q20</f>
        <v/>
      </c>
      <c r="D14" s="13">
        <f>'Base de Données'!Q21</f>
        <v/>
      </c>
      <c r="E14" s="68">
        <f>D14-C14</f>
        <v/>
      </c>
      <c r="F14" s="69">
        <f>IF(C14&lt;&gt;0,D14/C14-1,0)</f>
        <v/>
      </c>
    </row>
    <row r="15" ht="24" customHeight="1">
      <c r="B15" s="70" t="inlineStr">
        <is>
          <t>Production &amp; Opérations</t>
        </is>
      </c>
      <c r="C15" s="29">
        <f>'Base de Données'!Q35</f>
        <v/>
      </c>
      <c r="D15" s="71">
        <f>'Base de Données'!Q36</f>
        <v/>
      </c>
      <c r="E15" s="72">
        <f>D15-C15</f>
        <v/>
      </c>
      <c r="F15" s="69">
        <f>IF(C15&lt;&gt;0,D15/C15-1,0)</f>
        <v/>
      </c>
    </row>
    <row r="16" ht="24" customHeight="1">
      <c r="B16" s="17" t="inlineStr">
        <is>
          <t>IT / Digital</t>
        </is>
      </c>
      <c r="C16" s="67">
        <f>'Base de Données'!Q50</f>
        <v/>
      </c>
      <c r="D16" s="13">
        <f>'Base de Données'!Q51</f>
        <v/>
      </c>
      <c r="E16" s="73">
        <f>D16-C16</f>
        <v/>
      </c>
      <c r="F16" s="74">
        <f>IF(C16&lt;&gt;0,D16/C16-1,0)</f>
        <v/>
      </c>
    </row>
    <row r="17" ht="24" customHeight="1">
      <c r="B17" s="43" t="inlineStr">
        <is>
          <t>TOTAL GLOBAL</t>
        </is>
      </c>
      <c r="C17" s="44">
        <f>'Base de Données'!Q5</f>
        <v/>
      </c>
      <c r="D17" s="44">
        <f>'Base de Données'!Q10</f>
        <v/>
      </c>
      <c r="E17" s="46">
        <f>D17-C17</f>
        <v/>
      </c>
      <c r="F17" s="75">
        <f>IF(C17&lt;&gt;0,D17/C17-1,0)</f>
        <v/>
      </c>
    </row>
    <row r="19" ht="22" customHeight="1">
      <c r="B19" s="48" t="inlineStr">
        <is>
          <t xml:space="preserve">  ANALYSE &amp; COMMENTAIRES</t>
        </is>
      </c>
    </row>
    <row r="20" ht="26" customHeight="1">
      <c r="B20" s="76" t="inlineStr">
        <is>
          <t>⚠ Marketing (+5,93%)</t>
        </is>
      </c>
      <c r="C20" s="77" t="inlineStr">
        <is>
          <t>Dépassements structurels liés aux événements religieux. Révision budgétaire recommandée avec provision calendaire.</t>
        </is>
      </c>
    </row>
    <row r="21" ht="26" customHeight="1">
      <c r="B21" s="76" t="inlineStr">
        <is>
          <t>⚠ Production (+3,13%)</t>
        </is>
      </c>
      <c r="C21" s="78" t="inlineStr">
        <is>
          <t>Volatilité des coûts matières et énergie. Mise en place de couvertures de risque à étudier pour 2025.</t>
        </is>
      </c>
    </row>
    <row r="22" ht="26" customHeight="1">
      <c r="B22" s="79" t="inlineStr">
        <is>
          <t>▲ Ressources Humaines (+0,60%)</t>
        </is>
      </c>
      <c r="C22" s="77" t="inlineStr">
        <is>
          <t>Dépassement contenu — accélération des recrutements en T4. Processus d'avenant budgétaire à formaliser.</t>
        </is>
      </c>
    </row>
    <row r="23" ht="26" customHeight="1">
      <c r="B23" s="80" t="inlineStr">
        <is>
          <t>✔ IT / Digital (−0,43%)</t>
        </is>
      </c>
      <c r="C23" s="78" t="inlineStr">
        <is>
          <t>Modèle de discipline budgétaire à généraliser. Économies réalisées sur les licences cloud.</t>
        </is>
      </c>
    </row>
    <row r="25" ht="20" customHeight="1">
      <c r="B25" s="81" t="inlineStr">
        <is>
          <t>Source : Base de données AtlasCorp SA · DAF · Exercice 2024 · Document confidentiel</t>
        </is>
      </c>
    </row>
  </sheetData>
  <mergeCells count="26">
    <mergeCell ref="C8"/>
    <mergeCell ref="C23:F23"/>
    <mergeCell ref="B9"/>
    <mergeCell ref="D9"/>
    <mergeCell ref="B25:F25"/>
    <mergeCell ref="C7"/>
    <mergeCell ref="D8"/>
    <mergeCell ref="B6"/>
    <mergeCell ref="E7"/>
    <mergeCell ref="B2:F2"/>
    <mergeCell ref="B11:F11"/>
    <mergeCell ref="B7"/>
    <mergeCell ref="C6"/>
    <mergeCell ref="B1:F1"/>
    <mergeCell ref="E8"/>
    <mergeCell ref="C20:F20"/>
    <mergeCell ref="D6"/>
    <mergeCell ref="B19:F19"/>
    <mergeCell ref="C9"/>
    <mergeCell ref="C22:F22"/>
    <mergeCell ref="B8"/>
    <mergeCell ref="E9"/>
    <mergeCell ref="D7"/>
    <mergeCell ref="B5:F5"/>
    <mergeCell ref="C21:F21"/>
    <mergeCell ref="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</cols>
  <sheetData>
    <row r="1" ht="32" customHeight="1">
      <c r="A1" s="1" t="inlineStr">
        <is>
          <t>ATLASCORP SA  —  VISUALISATIONS BUDGÉTAIRES 2024</t>
        </is>
      </c>
    </row>
    <row r="2" ht="18" customHeight="1">
      <c r="A2" s="2" t="inlineStr">
        <is>
          <t>Budget vs Réalisé  ·  Répartition par département  ·  Évolution mensuelle  ·  Analyse trimestrielle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7" ht="32" customHeight="1">
      <c r="A47" s="82" t="inlineStr">
        <is>
          <t>Graphe 1 — Barres groupées : comparaison directe Budget vs Réalisé pour chaque département. Production (6,3M) et RH (3,5M) dominent le budget.</t>
        </is>
      </c>
      <c r="M47" s="82" t="inlineStr">
        <is>
          <t>Graphe 2 — Courbe mensuelle : suivi de l'évolution du réalisé mois par mois. Pics Marketing en T2 (Ramadan) et T4 (fin d'année).</t>
        </is>
      </c>
    </row>
    <row r="48" ht="32" customHeight="1">
      <c r="A48" s="82" t="inlineStr">
        <is>
          <t>Graphe 3 — Camembert : répartition structurelle du budget. Production représente 45% du budget total consolidé.</t>
        </is>
      </c>
      <c r="M48" s="82" t="inlineStr">
        <is>
          <t>Graphe 4 — Barres empilées : écarts cumulés par trimestre. T4 est le trimestre le plus déficitaire (+199K MAD global).</t>
        </is>
      </c>
    </row>
    <row r="50" ht="20" customHeight="1">
      <c r="A50" s="81" t="inlineStr">
        <is>
          <t>AtlasCorp SA  ·  Direction Administrative et Financière  ·  Casablanca, Maroc  ·  Exercice 2024  ·  Document confidentiel</t>
        </is>
      </c>
    </row>
    <row r="55">
      <c r="A55" t="inlineStr">
        <is>
          <t>Département</t>
        </is>
      </c>
      <c r="B55" t="inlineStr">
        <is>
          <t>Budget (MAD)</t>
        </is>
      </c>
      <c r="C55" t="inlineStr">
        <is>
          <t>Réalisé (MAD)</t>
        </is>
      </c>
      <c r="E55" t="inlineStr">
        <is>
          <t>Mois</t>
        </is>
      </c>
      <c r="F55" t="inlineStr">
        <is>
          <t>Budget Global</t>
        </is>
      </c>
      <c r="G55" t="inlineStr">
        <is>
          <t>RH Réalisé</t>
        </is>
      </c>
      <c r="H55" t="inlineStr">
        <is>
          <t>Marketing Réalisé</t>
        </is>
      </c>
      <c r="I55" t="inlineStr">
        <is>
          <t>Production Réalisé</t>
        </is>
      </c>
      <c r="J55" t="inlineStr">
        <is>
          <t>IT Réalisé</t>
        </is>
      </c>
      <c r="L55" t="inlineStr">
        <is>
          <t>Département</t>
        </is>
      </c>
      <c r="M55" t="inlineStr">
        <is>
          <t>Budget</t>
        </is>
      </c>
      <c r="O55" t="inlineStr">
        <is>
          <t>Trimestre</t>
        </is>
      </c>
      <c r="P55" t="inlineStr">
        <is>
          <t>Ressources Humaines</t>
        </is>
      </c>
      <c r="Q55" t="inlineStr">
        <is>
          <t>Marketing &amp; Communication</t>
        </is>
      </c>
      <c r="R55" t="inlineStr">
        <is>
          <t>Production &amp; Opérations</t>
        </is>
      </c>
      <c r="S55" t="inlineStr">
        <is>
          <t>IT / Digital</t>
        </is>
      </c>
    </row>
    <row r="56">
      <c r="A56" t="inlineStr">
        <is>
          <t>Ressources Humaines</t>
        </is>
      </c>
      <c r="B56" t="n">
        <v>3485000</v>
      </c>
      <c r="C56" t="n">
        <v>3506000</v>
      </c>
      <c r="E56" t="inlineStr">
        <is>
          <t>Jan</t>
        </is>
      </c>
      <c r="F56" t="n">
        <v>1135000</v>
      </c>
      <c r="G56" t="n">
        <v>281000</v>
      </c>
      <c r="H56" t="n">
        <v>172000</v>
      </c>
      <c r="I56" t="n">
        <v>518000</v>
      </c>
      <c r="J56" t="n">
        <v>148000</v>
      </c>
      <c r="L56" t="inlineStr">
        <is>
          <t>Ressources Humaines</t>
        </is>
      </c>
      <c r="M56" t="n">
        <v>3485000</v>
      </c>
      <c r="O56" t="inlineStr">
        <is>
          <t>T1</t>
        </is>
      </c>
      <c r="P56" t="n">
        <v>6000</v>
      </c>
      <c r="Q56" t="n">
        <v>15000</v>
      </c>
      <c r="R56" t="n">
        <v>27000</v>
      </c>
      <c r="S56" t="n">
        <v>-2000</v>
      </c>
    </row>
    <row r="57">
      <c r="A57" t="inlineStr">
        <is>
          <t>Marketing &amp; Communication</t>
        </is>
      </c>
      <c r="B57" t="n">
        <v>2360000</v>
      </c>
      <c r="C57" t="n">
        <v>2500000</v>
      </c>
      <c r="E57" t="inlineStr">
        <is>
          <t>Fév</t>
        </is>
      </c>
      <c r="F57" t="n">
        <v>1135000</v>
      </c>
      <c r="G57" t="n">
        <v>292000</v>
      </c>
      <c r="H57" t="n">
        <v>188000</v>
      </c>
      <c r="I57" t="n">
        <v>531000</v>
      </c>
      <c r="J57" t="n">
        <v>152000</v>
      </c>
      <c r="L57" t="inlineStr">
        <is>
          <t>Marketing &amp; Communication</t>
        </is>
      </c>
      <c r="M57" t="n">
        <v>2360000</v>
      </c>
      <c r="O57" t="inlineStr">
        <is>
          <t>T2</t>
        </is>
      </c>
      <c r="P57" t="n">
        <v>7000</v>
      </c>
      <c r="Q57" t="n">
        <v>41000</v>
      </c>
      <c r="R57" t="n">
        <v>39000</v>
      </c>
      <c r="S57" t="n">
        <v>2000</v>
      </c>
    </row>
    <row r="58">
      <c r="A58" t="inlineStr">
        <is>
          <t>Production &amp; Opérations</t>
        </is>
      </c>
      <c r="B58" t="n">
        <v>6355000</v>
      </c>
      <c r="C58" t="n">
        <v>6554000</v>
      </c>
      <c r="E58" t="inlineStr">
        <is>
          <t>Mar</t>
        </is>
      </c>
      <c r="F58" t="n">
        <v>1195000</v>
      </c>
      <c r="G58" t="n">
        <v>298000</v>
      </c>
      <c r="H58" t="n">
        <v>215000</v>
      </c>
      <c r="I58" t="n">
        <v>558000</v>
      </c>
      <c r="J58" t="n">
        <v>158000</v>
      </c>
      <c r="L58" t="inlineStr">
        <is>
          <t>Production &amp; Opérations</t>
        </is>
      </c>
      <c r="M58" t="n">
        <v>6355000</v>
      </c>
      <c r="O58" t="inlineStr">
        <is>
          <t>T3</t>
        </is>
      </c>
      <c r="P58" t="n">
        <v>-1000</v>
      </c>
      <c r="Q58" t="n">
        <v>9000</v>
      </c>
      <c r="R58" t="n">
        <v>76000</v>
      </c>
      <c r="S58" t="n">
        <v>-11000</v>
      </c>
    </row>
    <row r="59">
      <c r="A59" t="inlineStr">
        <is>
          <t>IT / Digital</t>
        </is>
      </c>
      <c r="B59" t="n">
        <v>1865000</v>
      </c>
      <c r="C59" t="n">
        <v>1857000</v>
      </c>
      <c r="E59" t="inlineStr">
        <is>
          <t>Avr</t>
        </is>
      </c>
      <c r="F59" t="n">
        <v>1165000</v>
      </c>
      <c r="G59" t="n">
        <v>288000</v>
      </c>
      <c r="H59" t="n">
        <v>238000</v>
      </c>
      <c r="I59" t="n">
        <v>512000</v>
      </c>
      <c r="J59" t="n">
        <v>147000</v>
      </c>
      <c r="L59" t="inlineStr">
        <is>
          <t>IT / Digital</t>
        </is>
      </c>
      <c r="M59" t="n">
        <v>1865000</v>
      </c>
      <c r="O59" t="inlineStr">
        <is>
          <t>T4</t>
        </is>
      </c>
      <c r="P59" t="n">
        <v>9000</v>
      </c>
      <c r="Q59" t="n">
        <v>75000</v>
      </c>
      <c r="R59" t="n">
        <v>57000</v>
      </c>
      <c r="S59" t="n">
        <v>3000</v>
      </c>
    </row>
    <row r="60">
      <c r="E60" t="inlineStr">
        <is>
          <t>Mai</t>
        </is>
      </c>
      <c r="F60" t="n">
        <v>1165000</v>
      </c>
      <c r="G60" t="n">
        <v>283000</v>
      </c>
      <c r="H60" t="n">
        <v>245000</v>
      </c>
      <c r="I60" t="n">
        <v>525000</v>
      </c>
      <c r="J60" t="n">
        <v>153000</v>
      </c>
    </row>
    <row r="61">
      <c r="E61" t="inlineStr">
        <is>
          <t>Jun</t>
        </is>
      </c>
      <c r="F61" t="n">
        <v>1205000</v>
      </c>
      <c r="G61" t="n">
        <v>301000</v>
      </c>
      <c r="H61" t="n">
        <v>198000</v>
      </c>
      <c r="I61" t="n">
        <v>572000</v>
      </c>
      <c r="J61" t="n">
        <v>162000</v>
      </c>
    </row>
    <row r="62">
      <c r="E62" t="inlineStr">
        <is>
          <t>Jul</t>
        </is>
      </c>
      <c r="F62" t="n">
        <v>1125000</v>
      </c>
      <c r="G62" t="n">
        <v>290000</v>
      </c>
      <c r="H62" t="n">
        <v>155000</v>
      </c>
      <c r="I62" t="n">
        <v>548000</v>
      </c>
      <c r="J62" t="n">
        <v>145000</v>
      </c>
    </row>
    <row r="63">
      <c r="E63" t="inlineStr">
        <is>
          <t>Aoû</t>
        </is>
      </c>
      <c r="F63" t="n">
        <v>1125000</v>
      </c>
      <c r="G63" t="n">
        <v>279000</v>
      </c>
      <c r="H63" t="n">
        <v>162000</v>
      </c>
      <c r="I63" t="n">
        <v>562000</v>
      </c>
      <c r="J63" t="n">
        <v>149000</v>
      </c>
    </row>
    <row r="64">
      <c r="E64" t="inlineStr">
        <is>
          <t>Sep</t>
        </is>
      </c>
      <c r="F64" t="n">
        <v>1180000</v>
      </c>
      <c r="G64" t="n">
        <v>295000</v>
      </c>
      <c r="H64" t="n">
        <v>192000</v>
      </c>
      <c r="I64" t="n">
        <v>571000</v>
      </c>
      <c r="J64" t="n">
        <v>155000</v>
      </c>
    </row>
    <row r="65">
      <c r="E65" t="inlineStr">
        <is>
          <t>Oct</t>
        </is>
      </c>
      <c r="F65" t="n">
        <v>1165000</v>
      </c>
      <c r="G65" t="n">
        <v>296000</v>
      </c>
      <c r="H65" t="n">
        <v>222000</v>
      </c>
      <c r="I65" t="n">
        <v>535000</v>
      </c>
      <c r="J65" t="n">
        <v>159000</v>
      </c>
    </row>
    <row r="66">
      <c r="E66" t="inlineStr">
        <is>
          <t>Nov</t>
        </is>
      </c>
      <c r="F66" t="n">
        <v>1175000</v>
      </c>
      <c r="G66" t="n">
        <v>288000</v>
      </c>
      <c r="H66" t="n">
        <v>228000</v>
      </c>
      <c r="I66" t="n">
        <v>542000</v>
      </c>
      <c r="J66" t="n">
        <v>157000</v>
      </c>
    </row>
    <row r="67">
      <c r="E67" t="inlineStr">
        <is>
          <t>Déc</t>
        </is>
      </c>
      <c r="F67" t="n">
        <v>1295000</v>
      </c>
      <c r="G67" t="n">
        <v>315000</v>
      </c>
      <c r="H67" t="n">
        <v>285000</v>
      </c>
      <c r="I67" t="n">
        <v>580000</v>
      </c>
      <c r="J67" t="n">
        <v>172000</v>
      </c>
    </row>
  </sheetData>
  <mergeCells count="7">
    <mergeCell ref="M48:Z48"/>
    <mergeCell ref="A48:K48"/>
    <mergeCell ref="A1:Z1"/>
    <mergeCell ref="A50:Z50"/>
    <mergeCell ref="M47:Z47"/>
    <mergeCell ref="A47:K47"/>
    <mergeCell ref="A2:Z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2026-03-28T22:01:29Z</dcterms:created>
  <dcterms:modified xmlns:dcterms="http://purl.org/dc/terms/" xmlns:xsi="http://www.w3.org/2001/XMLSchema-instance" xsi:type="dcterms:W3CDTF">2026-03-28T22:01:29Z</dcterms:modified>
</cp:coreProperties>
</file>